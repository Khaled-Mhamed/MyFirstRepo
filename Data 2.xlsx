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haled Mohamed\Desktop\"/>
    </mc:Choice>
  </mc:AlternateContent>
  <xr:revisionPtr revIDLastSave="0" documentId="13_ncr:1_{34AC187A-06EE-411A-B1D2-952D1C5E1C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001" i="1" l="1"/>
  <c r="L2000" i="1"/>
  <c r="L1999" i="1"/>
  <c r="L1998" i="1"/>
  <c r="L1996" i="1"/>
  <c r="L1997" i="1"/>
  <c r="L1995" i="1"/>
  <c r="L1993" i="1"/>
  <c r="L1994" i="1"/>
  <c r="L1991" i="1"/>
  <c r="L1992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8" i="1"/>
  <c r="L1969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8" i="1"/>
  <c r="L1949" i="1"/>
  <c r="L1947" i="1"/>
  <c r="L1946" i="1"/>
  <c r="L1945" i="1"/>
  <c r="L1944" i="1"/>
  <c r="L1943" i="1"/>
  <c r="L1942" i="1"/>
  <c r="L1941" i="1"/>
  <c r="L1939" i="1"/>
  <c r="L1940" i="1"/>
  <c r="L1938" i="1"/>
  <c r="L1937" i="1"/>
  <c r="L1936" i="1"/>
  <c r="L1935" i="1"/>
  <c r="L1934" i="1"/>
  <c r="L1932" i="1"/>
  <c r="L1933" i="1"/>
  <c r="L1931" i="1"/>
  <c r="L1930" i="1"/>
  <c r="L1929" i="1"/>
  <c r="L1928" i="1"/>
  <c r="L1927" i="1"/>
  <c r="L1926" i="1"/>
  <c r="L1925" i="1"/>
  <c r="L1922" i="1"/>
  <c r="L1923" i="1"/>
  <c r="L1924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1" i="1"/>
  <c r="L1902" i="1"/>
  <c r="L1900" i="1"/>
  <c r="L1899" i="1"/>
  <c r="L1898" i="1"/>
  <c r="L1897" i="1"/>
  <c r="L1896" i="1"/>
  <c r="L1895" i="1"/>
  <c r="L1894" i="1"/>
  <c r="L1893" i="1"/>
  <c r="L1891" i="1"/>
  <c r="L1892" i="1"/>
  <c r="L1890" i="1"/>
  <c r="L1889" i="1"/>
  <c r="L1888" i="1"/>
  <c r="L1887" i="1"/>
  <c r="L1886" i="1"/>
  <c r="L1884" i="1"/>
  <c r="L1885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69" i="1"/>
  <c r="L1870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3" i="1"/>
  <c r="L1854" i="1"/>
  <c r="L1855" i="1"/>
  <c r="L1851" i="1"/>
  <c r="L1852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4" i="1"/>
  <c r="L1835" i="1"/>
  <c r="L1832" i="1"/>
  <c r="L1833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8" i="1"/>
  <c r="L1799" i="1"/>
  <c r="L1797" i="1"/>
  <c r="L1795" i="1"/>
  <c r="L1796" i="1"/>
  <c r="L1794" i="1"/>
  <c r="L1792" i="1"/>
  <c r="L1793" i="1"/>
  <c r="L1790" i="1"/>
  <c r="L1791" i="1"/>
  <c r="L1789" i="1"/>
  <c r="L1788" i="1"/>
  <c r="L1787" i="1"/>
  <c r="L1786" i="1"/>
  <c r="L1785" i="1"/>
  <c r="L1784" i="1"/>
  <c r="L1782" i="1"/>
  <c r="L1783" i="1"/>
  <c r="L1780" i="1"/>
  <c r="L1781" i="1"/>
  <c r="L1779" i="1"/>
  <c r="L1778" i="1"/>
  <c r="L1776" i="1"/>
  <c r="L1777" i="1"/>
  <c r="L1775" i="1"/>
  <c r="L1774" i="1"/>
  <c r="L1773" i="1"/>
  <c r="L1772" i="1"/>
  <c r="L1771" i="1"/>
  <c r="L1770" i="1"/>
  <c r="L1769" i="1"/>
  <c r="L1768" i="1"/>
  <c r="L1765" i="1"/>
  <c r="L1766" i="1"/>
  <c r="L1767" i="1"/>
  <c r="L1764" i="1"/>
  <c r="L1763" i="1"/>
  <c r="L1761" i="1"/>
  <c r="L1762" i="1"/>
  <c r="L1760" i="1"/>
  <c r="L1759" i="1"/>
  <c r="L1757" i="1"/>
  <c r="L1758" i="1"/>
  <c r="L1756" i="1"/>
  <c r="L1755" i="1"/>
  <c r="L1754" i="1"/>
  <c r="L1752" i="1"/>
  <c r="L1753" i="1"/>
  <c r="L1751" i="1"/>
  <c r="L1750" i="1"/>
  <c r="L1749" i="1"/>
  <c r="L1748" i="1"/>
  <c r="L1747" i="1"/>
  <c r="L1746" i="1"/>
  <c r="L1745" i="1"/>
  <c r="L1744" i="1"/>
  <c r="L1743" i="1"/>
  <c r="L1742" i="1"/>
  <c r="L1741" i="1"/>
  <c r="L1739" i="1"/>
  <c r="L1740" i="1"/>
  <c r="L1737" i="1"/>
  <c r="L1738" i="1"/>
  <c r="L1736" i="1"/>
  <c r="L1734" i="1"/>
  <c r="L1735" i="1"/>
  <c r="L1732" i="1"/>
  <c r="L1733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8" i="1"/>
  <c r="L1719" i="1"/>
  <c r="L1717" i="1"/>
  <c r="L1716" i="1"/>
  <c r="L1715" i="1"/>
  <c r="L1712" i="1"/>
  <c r="L1713" i="1"/>
  <c r="L1714" i="1"/>
  <c r="L1711" i="1"/>
  <c r="L1710" i="1"/>
  <c r="L1708" i="1"/>
  <c r="L1709" i="1"/>
  <c r="L1707" i="1"/>
  <c r="L1706" i="1"/>
  <c r="L1705" i="1"/>
  <c r="L1704" i="1"/>
  <c r="L1703" i="1"/>
  <c r="L1702" i="1"/>
  <c r="L1701" i="1"/>
  <c r="L1700" i="1"/>
  <c r="L1699" i="1"/>
  <c r="L1698" i="1"/>
  <c r="L1697" i="1"/>
  <c r="L1695" i="1"/>
  <c r="L1696" i="1"/>
  <c r="L1694" i="1"/>
  <c r="L1693" i="1"/>
  <c r="L1691" i="1"/>
  <c r="L1692" i="1"/>
  <c r="L1690" i="1"/>
  <c r="L1689" i="1"/>
  <c r="L1688" i="1"/>
  <c r="L1687" i="1"/>
  <c r="L1686" i="1"/>
  <c r="L1685" i="1"/>
  <c r="L1684" i="1"/>
  <c r="L1683" i="1"/>
  <c r="L1681" i="1"/>
  <c r="L1682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5" i="1"/>
  <c r="L1666" i="1"/>
  <c r="L1664" i="1"/>
  <c r="L1663" i="1"/>
  <c r="L1662" i="1"/>
  <c r="L1661" i="1"/>
  <c r="L1660" i="1"/>
  <c r="L1658" i="1"/>
  <c r="L1659" i="1"/>
  <c r="L1657" i="1"/>
  <c r="L1656" i="1"/>
  <c r="L1654" i="1"/>
  <c r="L1655" i="1"/>
  <c r="L1652" i="1"/>
  <c r="L1653" i="1"/>
  <c r="L1650" i="1"/>
  <c r="L1651" i="1"/>
  <c r="L1649" i="1"/>
  <c r="L1647" i="1"/>
  <c r="L1648" i="1"/>
  <c r="L1646" i="1"/>
  <c r="L1645" i="1"/>
  <c r="L1643" i="1"/>
  <c r="L1644" i="1"/>
  <c r="L1642" i="1"/>
  <c r="L1641" i="1"/>
  <c r="L1640" i="1"/>
  <c r="L1639" i="1"/>
  <c r="L1637" i="1"/>
  <c r="L1638" i="1"/>
  <c r="L1636" i="1"/>
  <c r="L1635" i="1"/>
  <c r="L1634" i="1"/>
  <c r="L1633" i="1"/>
  <c r="L1632" i="1"/>
  <c r="L1631" i="1"/>
  <c r="L1630" i="1"/>
  <c r="L1628" i="1"/>
  <c r="L1629" i="1"/>
  <c r="L1627" i="1"/>
  <c r="L1626" i="1"/>
  <c r="L1625" i="1"/>
  <c r="L1623" i="1"/>
  <c r="L1624" i="1"/>
  <c r="L1622" i="1"/>
  <c r="L1621" i="1"/>
  <c r="L1620" i="1"/>
  <c r="L1619" i="1"/>
  <c r="L1618" i="1"/>
  <c r="L1617" i="1"/>
  <c r="L1616" i="1"/>
  <c r="L1614" i="1"/>
  <c r="L1615" i="1"/>
  <c r="L1613" i="1"/>
  <c r="L1612" i="1"/>
  <c r="L1611" i="1"/>
  <c r="L1610" i="1"/>
  <c r="L1609" i="1"/>
  <c r="L1608" i="1"/>
  <c r="L1607" i="1"/>
  <c r="L1606" i="1"/>
  <c r="L1605" i="1"/>
  <c r="L1604" i="1"/>
  <c r="L1602" i="1"/>
  <c r="L1603" i="1"/>
  <c r="L1601" i="1"/>
  <c r="L1599" i="1"/>
  <c r="L1600" i="1"/>
  <c r="L1598" i="1"/>
  <c r="L1597" i="1"/>
  <c r="L1596" i="1"/>
  <c r="L1595" i="1"/>
  <c r="L1594" i="1"/>
  <c r="L1592" i="1"/>
  <c r="L1593" i="1"/>
  <c r="L1591" i="1"/>
  <c r="L1590" i="1"/>
  <c r="L1588" i="1"/>
  <c r="L1589" i="1"/>
  <c r="L1587" i="1"/>
  <c r="L1586" i="1"/>
  <c r="L1585" i="1"/>
  <c r="L1584" i="1"/>
  <c r="L1583" i="1"/>
  <c r="L1582" i="1"/>
  <c r="L1581" i="1"/>
  <c r="L1580" i="1"/>
  <c r="L1579" i="1"/>
  <c r="L1578" i="1"/>
  <c r="L1575" i="1"/>
  <c r="L1576" i="1"/>
  <c r="L1577" i="1"/>
  <c r="L1574" i="1"/>
  <c r="L1573" i="1"/>
  <c r="L1572" i="1"/>
  <c r="L1569" i="1"/>
  <c r="L1570" i="1"/>
  <c r="L1571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1" i="1"/>
  <c r="L1552" i="1"/>
  <c r="L1550" i="1"/>
  <c r="L1549" i="1"/>
  <c r="L1548" i="1"/>
  <c r="L1547" i="1"/>
  <c r="L1544" i="1"/>
  <c r="L1545" i="1"/>
  <c r="L1546" i="1"/>
  <c r="L1543" i="1"/>
  <c r="L1542" i="1"/>
  <c r="L1541" i="1"/>
  <c r="L1540" i="1"/>
  <c r="L1539" i="1"/>
  <c r="L1538" i="1"/>
  <c r="L1537" i="1"/>
  <c r="L1536" i="1"/>
  <c r="L1535" i="1"/>
  <c r="L1533" i="1"/>
  <c r="L1534" i="1"/>
  <c r="L1532" i="1"/>
  <c r="L1531" i="1"/>
  <c r="L1530" i="1"/>
  <c r="L1529" i="1"/>
  <c r="L1528" i="1"/>
  <c r="L1526" i="1"/>
  <c r="L1527" i="1"/>
  <c r="L1525" i="1"/>
  <c r="L1524" i="1"/>
  <c r="L1523" i="1"/>
  <c r="L1522" i="1"/>
  <c r="L1521" i="1"/>
  <c r="L1520" i="1"/>
  <c r="L1518" i="1"/>
  <c r="L1519" i="1"/>
  <c r="L1517" i="1"/>
  <c r="L1516" i="1"/>
  <c r="L1515" i="1"/>
  <c r="L1512" i="1"/>
  <c r="L1513" i="1"/>
  <c r="L1514" i="1"/>
  <c r="L1511" i="1"/>
  <c r="L1510" i="1"/>
  <c r="L1509" i="1"/>
  <c r="L1508" i="1"/>
  <c r="L1507" i="1"/>
  <c r="L1506" i="1"/>
  <c r="L1505" i="1"/>
  <c r="L1503" i="1"/>
  <c r="L1504" i="1"/>
  <c r="L1502" i="1"/>
  <c r="L1501" i="1"/>
  <c r="L1499" i="1"/>
  <c r="L1500" i="1"/>
  <c r="L1498" i="1"/>
  <c r="L1497" i="1"/>
  <c r="L1496" i="1"/>
  <c r="L1495" i="1"/>
  <c r="L1494" i="1"/>
  <c r="L1492" i="1"/>
  <c r="L1493" i="1"/>
  <c r="L1489" i="1"/>
  <c r="L1490" i="1"/>
  <c r="L1491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68" i="1"/>
  <c r="L1469" i="1"/>
  <c r="L1470" i="1"/>
  <c r="L1467" i="1"/>
  <c r="L1465" i="1"/>
  <c r="L1466" i="1"/>
  <c r="L1464" i="1"/>
  <c r="L1463" i="1"/>
  <c r="L1461" i="1"/>
  <c r="L1462" i="1"/>
  <c r="L1460" i="1"/>
  <c r="L1458" i="1"/>
  <c r="L1459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0" i="1"/>
  <c r="L1441" i="1"/>
  <c r="L1439" i="1"/>
  <c r="L1438" i="1"/>
  <c r="L1436" i="1"/>
  <c r="L1437" i="1"/>
  <c r="L1435" i="1"/>
  <c r="L1434" i="1"/>
  <c r="L1432" i="1"/>
  <c r="L1433" i="1"/>
  <c r="L1431" i="1"/>
  <c r="L1430" i="1"/>
  <c r="L1429" i="1"/>
  <c r="L1427" i="1"/>
  <c r="L1428" i="1"/>
  <c r="L1426" i="1"/>
  <c r="L1425" i="1"/>
  <c r="L1424" i="1"/>
  <c r="L1423" i="1"/>
  <c r="L1422" i="1"/>
  <c r="L1421" i="1"/>
  <c r="L1420" i="1"/>
  <c r="L1418" i="1"/>
  <c r="L1419" i="1"/>
  <c r="L1416" i="1"/>
  <c r="L1417" i="1"/>
  <c r="L1413" i="1"/>
  <c r="L1414" i="1"/>
  <c r="L1415" i="1"/>
  <c r="L1411" i="1"/>
  <c r="L1412" i="1"/>
  <c r="L1410" i="1"/>
  <c r="L1408" i="1"/>
  <c r="L1409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4" i="1"/>
  <c r="L1395" i="1"/>
  <c r="L1393" i="1"/>
  <c r="L1392" i="1"/>
  <c r="L1391" i="1"/>
  <c r="L1390" i="1"/>
  <c r="L1389" i="1"/>
  <c r="L1388" i="1"/>
  <c r="L1386" i="1"/>
  <c r="L1387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2" i="1"/>
  <c r="L1373" i="1"/>
  <c r="L1371" i="1"/>
  <c r="L1369" i="1"/>
  <c r="L1370" i="1"/>
  <c r="L1367" i="1"/>
  <c r="L1368" i="1"/>
  <c r="L1366" i="1"/>
  <c r="L1365" i="1"/>
  <c r="L1364" i="1"/>
  <c r="L1363" i="1"/>
  <c r="L1362" i="1"/>
  <c r="L1360" i="1"/>
  <c r="L1361" i="1"/>
  <c r="L1358" i="1"/>
  <c r="L1359" i="1"/>
  <c r="L1356" i="1"/>
  <c r="L1357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8" i="1"/>
  <c r="L1339" i="1"/>
  <c r="L1336" i="1"/>
  <c r="L1337" i="1"/>
  <c r="L1335" i="1"/>
  <c r="L1334" i="1"/>
  <c r="L1331" i="1"/>
  <c r="L1332" i="1"/>
  <c r="L1333" i="1"/>
  <c r="L1330" i="1"/>
  <c r="L1329" i="1"/>
  <c r="L1327" i="1"/>
  <c r="L1328" i="1"/>
  <c r="L1326" i="1"/>
  <c r="L1324" i="1"/>
  <c r="L1325" i="1"/>
  <c r="L1322" i="1"/>
  <c r="L1323" i="1"/>
  <c r="L1321" i="1"/>
  <c r="L1319" i="1"/>
  <c r="L1320" i="1"/>
  <c r="L1318" i="1"/>
  <c r="L1317" i="1"/>
  <c r="L1316" i="1"/>
  <c r="L1315" i="1"/>
  <c r="L1314" i="1"/>
  <c r="L1313" i="1"/>
  <c r="L1310" i="1"/>
  <c r="L1311" i="1"/>
  <c r="L1312" i="1"/>
  <c r="L1309" i="1"/>
  <c r="L1306" i="1"/>
  <c r="L1307" i="1"/>
  <c r="L1308" i="1"/>
  <c r="L1305" i="1"/>
  <c r="L1304" i="1"/>
  <c r="L1303" i="1"/>
  <c r="L1302" i="1"/>
  <c r="L1300" i="1"/>
  <c r="L1301" i="1"/>
  <c r="L1298" i="1"/>
  <c r="L1299" i="1"/>
  <c r="L1297" i="1"/>
  <c r="L1296" i="1"/>
  <c r="L1295" i="1"/>
  <c r="L1293" i="1"/>
  <c r="L1294" i="1"/>
  <c r="L1292" i="1"/>
  <c r="L1291" i="1"/>
  <c r="L1290" i="1"/>
  <c r="L1289" i="1"/>
  <c r="L1288" i="1"/>
  <c r="L1286" i="1"/>
  <c r="L1287" i="1"/>
  <c r="L1285" i="1"/>
  <c r="L1284" i="1"/>
  <c r="L1283" i="1"/>
  <c r="L1282" i="1"/>
  <c r="L1281" i="1"/>
  <c r="L1280" i="1"/>
  <c r="L1279" i="1"/>
  <c r="L1278" i="1"/>
  <c r="L1277" i="1"/>
  <c r="L1276" i="1"/>
  <c r="L1275" i="1"/>
  <c r="L1273" i="1"/>
  <c r="L1274" i="1"/>
  <c r="L1271" i="1"/>
  <c r="L1272" i="1"/>
  <c r="L1270" i="1"/>
  <c r="L1269" i="1"/>
  <c r="L1268" i="1"/>
  <c r="L1267" i="1"/>
  <c r="L1266" i="1"/>
  <c r="L1265" i="1"/>
  <c r="L1264" i="1"/>
  <c r="L1262" i="1"/>
  <c r="L1263" i="1"/>
  <c r="L1261" i="1"/>
  <c r="L1260" i="1"/>
  <c r="L1259" i="1"/>
  <c r="L1258" i="1"/>
  <c r="L1257" i="1"/>
  <c r="L1256" i="1"/>
  <c r="L1255" i="1"/>
  <c r="L1254" i="1"/>
  <c r="L1251" i="1"/>
  <c r="L1252" i="1"/>
  <c r="L1253" i="1"/>
  <c r="L1250" i="1"/>
  <c r="L1249" i="1"/>
  <c r="L1248" i="1"/>
  <c r="L1247" i="1"/>
  <c r="L1246" i="1"/>
  <c r="L1244" i="1"/>
  <c r="L1245" i="1"/>
  <c r="L1242" i="1"/>
  <c r="L1243" i="1"/>
  <c r="L1240" i="1"/>
  <c r="L1241" i="1"/>
  <c r="L1239" i="1"/>
  <c r="L1237" i="1"/>
  <c r="L1238" i="1"/>
  <c r="L1236" i="1"/>
  <c r="L1235" i="1"/>
  <c r="L1233" i="1"/>
  <c r="L1234" i="1"/>
  <c r="L1232" i="1"/>
  <c r="L1231" i="1"/>
  <c r="L1230" i="1"/>
  <c r="L1229" i="1"/>
  <c r="L1228" i="1"/>
  <c r="L1227" i="1"/>
  <c r="L1225" i="1"/>
  <c r="L1226" i="1"/>
  <c r="L1224" i="1"/>
  <c r="L1223" i="1"/>
  <c r="L1222" i="1"/>
  <c r="L1219" i="1"/>
  <c r="L1220" i="1"/>
  <c r="L1221" i="1"/>
  <c r="L1217" i="1"/>
  <c r="L1218" i="1"/>
  <c r="L1216" i="1"/>
  <c r="L1215" i="1"/>
  <c r="L1213" i="1"/>
  <c r="L1214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3" i="1"/>
  <c r="L1184" i="1"/>
  <c r="L1185" i="1"/>
  <c r="L1186" i="1"/>
  <c r="L1182" i="1"/>
  <c r="L1181" i="1"/>
  <c r="L1179" i="1"/>
  <c r="L1180" i="1"/>
  <c r="L1178" i="1"/>
  <c r="L1177" i="1"/>
  <c r="L1176" i="1"/>
  <c r="L1175" i="1"/>
  <c r="L1174" i="1"/>
  <c r="L1173" i="1"/>
  <c r="L1172" i="1"/>
  <c r="L1171" i="1"/>
  <c r="L1170" i="1"/>
  <c r="L1168" i="1"/>
  <c r="L1169" i="1"/>
  <c r="L1167" i="1"/>
  <c r="L1166" i="1"/>
  <c r="L1165" i="1"/>
  <c r="L1164" i="1"/>
  <c r="L1163" i="1"/>
  <c r="L1162" i="1"/>
  <c r="L1161" i="1"/>
  <c r="L1159" i="1"/>
  <c r="L1160" i="1"/>
  <c r="L1158" i="1"/>
  <c r="L1157" i="1"/>
  <c r="L1156" i="1"/>
  <c r="L1154" i="1"/>
  <c r="L1155" i="1"/>
  <c r="L1153" i="1"/>
  <c r="L1150" i="1"/>
  <c r="L1151" i="1"/>
  <c r="L1152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4" i="1"/>
  <c r="L1135" i="1"/>
  <c r="L1133" i="1"/>
  <c r="L1132" i="1"/>
  <c r="L1131" i="1"/>
  <c r="L1130" i="1"/>
  <c r="L1128" i="1"/>
  <c r="L1129" i="1"/>
  <c r="L1127" i="1"/>
  <c r="L1125" i="1"/>
  <c r="L1126" i="1"/>
  <c r="L1124" i="1"/>
  <c r="L1123" i="1"/>
  <c r="L1122" i="1"/>
  <c r="L1121" i="1"/>
  <c r="L1120" i="1"/>
  <c r="L1119" i="1"/>
  <c r="L1118" i="1"/>
  <c r="L1117" i="1"/>
  <c r="L1116" i="1"/>
  <c r="L1114" i="1"/>
  <c r="L1115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4" i="1"/>
  <c r="L1095" i="1"/>
  <c r="L1093" i="1"/>
  <c r="L1092" i="1"/>
  <c r="L1091" i="1"/>
  <c r="L1090" i="1"/>
  <c r="L1089" i="1"/>
  <c r="L1087" i="1"/>
  <c r="L1088" i="1"/>
  <c r="L1086" i="1"/>
  <c r="L1085" i="1"/>
  <c r="L1084" i="1"/>
  <c r="L1081" i="1"/>
  <c r="L1082" i="1"/>
  <c r="L1083" i="1"/>
  <c r="L1080" i="1"/>
  <c r="L1078" i="1"/>
  <c r="L1079" i="1"/>
  <c r="L1077" i="1"/>
  <c r="L1076" i="1"/>
  <c r="L1075" i="1"/>
  <c r="L1074" i="1"/>
  <c r="L1073" i="1"/>
  <c r="L1072" i="1"/>
  <c r="L1071" i="1"/>
  <c r="L1069" i="1"/>
  <c r="L1070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1" i="1"/>
  <c r="L1052" i="1"/>
  <c r="L1050" i="1"/>
  <c r="L1048" i="1"/>
  <c r="L1049" i="1"/>
  <c r="L1047" i="1"/>
  <c r="L1045" i="1"/>
  <c r="L1046" i="1"/>
  <c r="L1043" i="1"/>
  <c r="L1044" i="1"/>
  <c r="L1042" i="1"/>
  <c r="L1041" i="1"/>
  <c r="L1040" i="1"/>
  <c r="L1039" i="1"/>
  <c r="L1038" i="1"/>
  <c r="L1036" i="1"/>
  <c r="L1037" i="1"/>
  <c r="L1035" i="1"/>
  <c r="L1034" i="1"/>
  <c r="L1033" i="1"/>
  <c r="L1032" i="1"/>
  <c r="L1031" i="1"/>
  <c r="L1030" i="1"/>
  <c r="L1029" i="1"/>
  <c r="L1028" i="1"/>
  <c r="L1027" i="1"/>
  <c r="L1025" i="1"/>
  <c r="L1026" i="1"/>
  <c r="L1024" i="1"/>
  <c r="L1023" i="1"/>
  <c r="L1022" i="1"/>
  <c r="L1021" i="1"/>
  <c r="L1020" i="1"/>
  <c r="L1019" i="1"/>
  <c r="L1018" i="1"/>
  <c r="L1017" i="1"/>
  <c r="L1016" i="1"/>
  <c r="L1015" i="1"/>
  <c r="L1014" i="1"/>
  <c r="L1012" i="1"/>
  <c r="L1013" i="1"/>
  <c r="L1011" i="1"/>
  <c r="L1009" i="1"/>
  <c r="L1010" i="1"/>
  <c r="L1008" i="1"/>
  <c r="L1006" i="1"/>
  <c r="L1007" i="1"/>
  <c r="L1005" i="1"/>
  <c r="L1004" i="1"/>
  <c r="L1003" i="1"/>
  <c r="L1002" i="1"/>
  <c r="L1001" i="1"/>
  <c r="L1000" i="1"/>
  <c r="L998" i="1"/>
  <c r="L999" i="1"/>
  <c r="L997" i="1"/>
  <c r="L994" i="1"/>
  <c r="L995" i="1"/>
  <c r="L996" i="1"/>
  <c r="L993" i="1"/>
  <c r="L992" i="1"/>
  <c r="L991" i="1"/>
  <c r="L990" i="1"/>
  <c r="L988" i="1"/>
  <c r="L989" i="1"/>
  <c r="L986" i="1"/>
  <c r="L987" i="1"/>
  <c r="L985" i="1"/>
  <c r="L984" i="1"/>
  <c r="L983" i="1"/>
  <c r="L982" i="1"/>
  <c r="L980" i="1"/>
  <c r="L981" i="1"/>
  <c r="L979" i="1"/>
  <c r="L977" i="1"/>
  <c r="L978" i="1"/>
  <c r="L976" i="1"/>
  <c r="L975" i="1"/>
  <c r="L974" i="1"/>
  <c r="L973" i="1"/>
  <c r="L971" i="1"/>
  <c r="L972" i="1"/>
  <c r="L970" i="1"/>
  <c r="L969" i="1"/>
  <c r="L967" i="1"/>
  <c r="L968" i="1"/>
  <c r="L964" i="1"/>
  <c r="L965" i="1"/>
  <c r="L966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8" i="1"/>
  <c r="L949" i="1"/>
  <c r="L947" i="1"/>
  <c r="L946" i="1"/>
  <c r="L945" i="1"/>
  <c r="L944" i="1"/>
  <c r="L943" i="1"/>
  <c r="L942" i="1"/>
  <c r="L941" i="1"/>
  <c r="L940" i="1"/>
  <c r="L937" i="1"/>
  <c r="L938" i="1"/>
  <c r="L939" i="1"/>
  <c r="L936" i="1"/>
  <c r="L935" i="1"/>
  <c r="L934" i="1"/>
  <c r="L931" i="1"/>
  <c r="L932" i="1"/>
  <c r="L933" i="1"/>
  <c r="L930" i="1"/>
  <c r="L929" i="1"/>
  <c r="L927" i="1"/>
  <c r="L928" i="1"/>
  <c r="L926" i="1"/>
  <c r="L925" i="1"/>
  <c r="L924" i="1"/>
  <c r="L923" i="1"/>
  <c r="L921" i="1"/>
  <c r="L922" i="1"/>
  <c r="L920" i="1"/>
  <c r="L919" i="1"/>
  <c r="L917" i="1"/>
  <c r="L918" i="1"/>
  <c r="L916" i="1"/>
  <c r="L915" i="1"/>
  <c r="L914" i="1"/>
  <c r="L912" i="1"/>
  <c r="L913" i="1"/>
  <c r="L911" i="1"/>
  <c r="L910" i="1"/>
  <c r="L909" i="1"/>
  <c r="L906" i="1"/>
  <c r="L907" i="1"/>
  <c r="L908" i="1"/>
  <c r="L904" i="1"/>
  <c r="L905" i="1"/>
  <c r="L903" i="1"/>
  <c r="L902" i="1"/>
  <c r="L901" i="1"/>
  <c r="L900" i="1"/>
  <c r="L898" i="1"/>
  <c r="L899" i="1"/>
  <c r="L897" i="1"/>
  <c r="L895" i="1"/>
  <c r="L896" i="1"/>
  <c r="L893" i="1"/>
  <c r="L894" i="1"/>
  <c r="L892" i="1"/>
  <c r="L890" i="1"/>
  <c r="L891" i="1"/>
  <c r="L889" i="1"/>
  <c r="L887" i="1"/>
  <c r="L888" i="1"/>
  <c r="L886" i="1"/>
  <c r="L884" i="1"/>
  <c r="L885" i="1"/>
  <c r="L883" i="1"/>
  <c r="L881" i="1"/>
  <c r="L882" i="1"/>
  <c r="L880" i="1"/>
  <c r="L878" i="1"/>
  <c r="L879" i="1"/>
  <c r="L877" i="1"/>
  <c r="L876" i="1"/>
  <c r="L875" i="1"/>
  <c r="L874" i="1"/>
  <c r="L872" i="1"/>
  <c r="L873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7" i="1"/>
  <c r="L858" i="1"/>
  <c r="L856" i="1"/>
  <c r="L855" i="1"/>
  <c r="L854" i="1"/>
  <c r="L853" i="1"/>
  <c r="L850" i="1"/>
  <c r="L851" i="1"/>
  <c r="L852" i="1"/>
  <c r="L849" i="1"/>
  <c r="L845" i="1"/>
  <c r="L846" i="1"/>
  <c r="L847" i="1"/>
  <c r="L848" i="1"/>
  <c r="L844" i="1"/>
  <c r="L843" i="1"/>
  <c r="L842" i="1"/>
  <c r="L841" i="1"/>
  <c r="L840" i="1"/>
  <c r="L839" i="1"/>
  <c r="L838" i="1"/>
  <c r="L837" i="1"/>
  <c r="L836" i="1"/>
  <c r="L835" i="1"/>
  <c r="L833" i="1"/>
  <c r="L834" i="1"/>
  <c r="L831" i="1"/>
  <c r="L832" i="1"/>
  <c r="L830" i="1"/>
  <c r="L829" i="1"/>
  <c r="L828" i="1"/>
  <c r="L827" i="1"/>
  <c r="L826" i="1"/>
  <c r="L825" i="1"/>
  <c r="L824" i="1"/>
  <c r="L823" i="1"/>
  <c r="L821" i="1"/>
  <c r="L822" i="1"/>
  <c r="L820" i="1"/>
  <c r="L819" i="1"/>
  <c r="L817" i="1"/>
  <c r="L818" i="1"/>
  <c r="L816" i="1"/>
  <c r="L815" i="1"/>
  <c r="L814" i="1"/>
  <c r="L813" i="1"/>
  <c r="L812" i="1"/>
  <c r="L811" i="1"/>
  <c r="L810" i="1"/>
  <c r="L809" i="1"/>
  <c r="L808" i="1"/>
  <c r="L807" i="1"/>
  <c r="L806" i="1"/>
  <c r="L804" i="1"/>
  <c r="L805" i="1"/>
  <c r="L802" i="1"/>
  <c r="L803" i="1"/>
  <c r="L801" i="1"/>
  <c r="L800" i="1"/>
  <c r="L799" i="1"/>
  <c r="L797" i="1"/>
  <c r="L798" i="1"/>
  <c r="L796" i="1"/>
  <c r="L795" i="1"/>
  <c r="L793" i="1"/>
  <c r="L794" i="1"/>
  <c r="L792" i="1"/>
  <c r="L790" i="1"/>
  <c r="L791" i="1"/>
  <c r="L789" i="1"/>
  <c r="L788" i="1"/>
  <c r="L787" i="1"/>
  <c r="L785" i="1"/>
  <c r="L786" i="1"/>
  <c r="L784" i="1"/>
  <c r="L783" i="1"/>
  <c r="L782" i="1"/>
  <c r="L781" i="1"/>
  <c r="L780" i="1"/>
  <c r="L779" i="1"/>
  <c r="L777" i="1"/>
  <c r="L778" i="1"/>
  <c r="L776" i="1"/>
  <c r="L775" i="1"/>
  <c r="L774" i="1"/>
  <c r="L773" i="1"/>
  <c r="L771" i="1"/>
  <c r="L772" i="1"/>
  <c r="L770" i="1"/>
  <c r="L768" i="1"/>
  <c r="L769" i="1"/>
  <c r="L766" i="1"/>
  <c r="L767" i="1"/>
  <c r="L765" i="1"/>
  <c r="L763" i="1"/>
  <c r="L764" i="1"/>
  <c r="L762" i="1"/>
  <c r="L761" i="1"/>
  <c r="L759" i="1"/>
  <c r="L760" i="1"/>
  <c r="L757" i="1"/>
  <c r="L758" i="1"/>
  <c r="L756" i="1"/>
  <c r="L754" i="1"/>
  <c r="L755" i="1"/>
  <c r="L753" i="1"/>
  <c r="L751" i="1"/>
  <c r="L752" i="1"/>
  <c r="L750" i="1"/>
  <c r="L749" i="1"/>
  <c r="L748" i="1"/>
  <c r="L747" i="1"/>
  <c r="L745" i="1"/>
  <c r="L746" i="1"/>
  <c r="L744" i="1"/>
  <c r="L743" i="1"/>
  <c r="L742" i="1"/>
  <c r="L741" i="1"/>
  <c r="L740" i="1"/>
  <c r="L738" i="1"/>
  <c r="L739" i="1"/>
  <c r="L737" i="1"/>
  <c r="L736" i="1"/>
  <c r="L735" i="1"/>
  <c r="L734" i="1"/>
  <c r="L732" i="1"/>
  <c r="L733" i="1"/>
  <c r="L731" i="1"/>
  <c r="L727" i="1"/>
  <c r="L728" i="1"/>
  <c r="L729" i="1"/>
  <c r="L730" i="1"/>
  <c r="L726" i="1"/>
  <c r="L725" i="1"/>
  <c r="L724" i="1"/>
  <c r="L723" i="1"/>
  <c r="L721" i="1"/>
  <c r="L722" i="1"/>
  <c r="L720" i="1"/>
  <c r="L719" i="1"/>
  <c r="L717" i="1"/>
  <c r="L718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8" i="1"/>
  <c r="L699" i="1"/>
  <c r="L697" i="1"/>
  <c r="L696" i="1"/>
  <c r="L695" i="1"/>
  <c r="L694" i="1"/>
  <c r="L692" i="1"/>
  <c r="L693" i="1"/>
  <c r="L691" i="1"/>
  <c r="L690" i="1"/>
  <c r="L689" i="1"/>
  <c r="L688" i="1"/>
  <c r="L687" i="1"/>
  <c r="L686" i="1"/>
  <c r="L684" i="1"/>
  <c r="L685" i="1"/>
  <c r="L683" i="1"/>
  <c r="L681" i="1"/>
  <c r="L682" i="1"/>
  <c r="L680" i="1"/>
  <c r="L679" i="1"/>
  <c r="L678" i="1"/>
  <c r="L677" i="1"/>
  <c r="L676" i="1"/>
  <c r="L675" i="1"/>
  <c r="L674" i="1"/>
  <c r="L672" i="1"/>
  <c r="L673" i="1"/>
  <c r="L671" i="1"/>
  <c r="L670" i="1"/>
  <c r="L669" i="1"/>
  <c r="L668" i="1"/>
  <c r="L666" i="1"/>
  <c r="L667" i="1"/>
  <c r="L665" i="1"/>
  <c r="L664" i="1"/>
  <c r="L663" i="1"/>
  <c r="L662" i="1"/>
  <c r="L661" i="1"/>
  <c r="L660" i="1"/>
  <c r="L659" i="1"/>
  <c r="L658" i="1"/>
  <c r="L657" i="1"/>
  <c r="L656" i="1"/>
  <c r="L654" i="1"/>
  <c r="L655" i="1"/>
  <c r="L653" i="1"/>
  <c r="L652" i="1"/>
  <c r="L651" i="1"/>
  <c r="L650" i="1"/>
  <c r="L649" i="1"/>
  <c r="L648" i="1"/>
  <c r="L647" i="1"/>
  <c r="L646" i="1"/>
  <c r="L645" i="1"/>
  <c r="L643" i="1"/>
  <c r="L644" i="1"/>
  <c r="L642" i="1"/>
  <c r="L641" i="1"/>
  <c r="L639" i="1"/>
  <c r="L640" i="1"/>
  <c r="L637" i="1"/>
  <c r="L638" i="1"/>
  <c r="L636" i="1"/>
  <c r="L634" i="1"/>
  <c r="L635" i="1"/>
  <c r="L633" i="1"/>
  <c r="L632" i="1"/>
  <c r="L631" i="1"/>
  <c r="L630" i="1"/>
  <c r="L628" i="1"/>
  <c r="L629" i="1"/>
  <c r="L627" i="1"/>
  <c r="L626" i="1"/>
  <c r="L625" i="1"/>
  <c r="L624" i="1"/>
  <c r="L622" i="1"/>
  <c r="L623" i="1"/>
  <c r="L621" i="1"/>
  <c r="L620" i="1"/>
  <c r="L618" i="1"/>
  <c r="L619" i="1"/>
  <c r="L616" i="1"/>
  <c r="L617" i="1"/>
  <c r="L614" i="1"/>
  <c r="L615" i="1"/>
  <c r="L612" i="1"/>
  <c r="L613" i="1"/>
  <c r="L611" i="1"/>
  <c r="L610" i="1"/>
  <c r="L609" i="1"/>
  <c r="L608" i="1"/>
  <c r="L607" i="1"/>
  <c r="L605" i="1"/>
  <c r="L606" i="1"/>
  <c r="L604" i="1"/>
  <c r="L603" i="1"/>
  <c r="L602" i="1"/>
  <c r="L601" i="1"/>
  <c r="L600" i="1"/>
  <c r="L599" i="1"/>
  <c r="L598" i="1"/>
  <c r="L596" i="1"/>
  <c r="L597" i="1"/>
  <c r="L595" i="1"/>
  <c r="L594" i="1"/>
  <c r="L593" i="1"/>
  <c r="L591" i="1"/>
  <c r="L592" i="1"/>
  <c r="L590" i="1"/>
  <c r="L589" i="1"/>
  <c r="L586" i="1"/>
  <c r="L587" i="1"/>
  <c r="L588" i="1"/>
  <c r="L585" i="1"/>
  <c r="L584" i="1"/>
  <c r="L583" i="1"/>
  <c r="L581" i="1"/>
  <c r="L582" i="1"/>
  <c r="L580" i="1"/>
  <c r="L579" i="1"/>
  <c r="L578" i="1"/>
  <c r="L577" i="1"/>
  <c r="L576" i="1"/>
  <c r="L575" i="1"/>
  <c r="L574" i="1"/>
  <c r="L573" i="1"/>
  <c r="L571" i="1"/>
  <c r="L572" i="1"/>
  <c r="L569" i="1"/>
  <c r="L570" i="1"/>
  <c r="L568" i="1"/>
  <c r="L567" i="1"/>
  <c r="L566" i="1"/>
  <c r="L564" i="1"/>
  <c r="L565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49" i="1"/>
  <c r="L550" i="1"/>
  <c r="L548" i="1"/>
  <c r="L547" i="1"/>
  <c r="L546" i="1"/>
  <c r="L544" i="1"/>
  <c r="L545" i="1"/>
  <c r="L542" i="1"/>
  <c r="L543" i="1"/>
  <c r="L541" i="1"/>
  <c r="L540" i="1"/>
  <c r="L539" i="1"/>
  <c r="L538" i="1"/>
  <c r="L537" i="1"/>
  <c r="L536" i="1"/>
  <c r="L534" i="1"/>
  <c r="L535" i="1"/>
  <c r="L533" i="1"/>
  <c r="L532" i="1"/>
  <c r="L531" i="1"/>
  <c r="L530" i="1"/>
  <c r="L529" i="1"/>
  <c r="L527" i="1"/>
  <c r="L528" i="1"/>
  <c r="L526" i="1"/>
  <c r="L525" i="1"/>
  <c r="L524" i="1"/>
  <c r="L522" i="1"/>
  <c r="L523" i="1"/>
  <c r="L521" i="1"/>
  <c r="L520" i="1"/>
  <c r="L519" i="1"/>
  <c r="L518" i="1"/>
  <c r="L517" i="1"/>
  <c r="L515" i="1"/>
  <c r="L516" i="1"/>
  <c r="L514" i="1"/>
  <c r="L512" i="1"/>
  <c r="L513" i="1"/>
  <c r="L511" i="1"/>
  <c r="L510" i="1"/>
  <c r="L508" i="1"/>
  <c r="L509" i="1"/>
  <c r="L507" i="1"/>
  <c r="L506" i="1"/>
  <c r="L505" i="1"/>
  <c r="L502" i="1"/>
  <c r="L503" i="1"/>
  <c r="L504" i="1"/>
  <c r="L501" i="1"/>
  <c r="L500" i="1"/>
  <c r="L499" i="1"/>
  <c r="L497" i="1"/>
  <c r="L498" i="1"/>
  <c r="L495" i="1"/>
  <c r="L496" i="1"/>
  <c r="L494" i="1"/>
  <c r="L492" i="1"/>
  <c r="L493" i="1"/>
  <c r="L491" i="1"/>
  <c r="L490" i="1"/>
  <c r="L489" i="1"/>
  <c r="L488" i="1"/>
  <c r="L487" i="1"/>
  <c r="L485" i="1"/>
  <c r="L486" i="1"/>
  <c r="L484" i="1"/>
  <c r="L482" i="1"/>
  <c r="L483" i="1"/>
  <c r="L481" i="1"/>
  <c r="L480" i="1"/>
  <c r="L479" i="1"/>
  <c r="L477" i="1"/>
  <c r="L478" i="1"/>
  <c r="L476" i="1"/>
  <c r="L474" i="1"/>
  <c r="L475" i="1"/>
  <c r="L473" i="1"/>
  <c r="L472" i="1"/>
  <c r="L471" i="1"/>
  <c r="L470" i="1"/>
  <c r="L469" i="1"/>
  <c r="L467" i="1"/>
  <c r="L468" i="1"/>
  <c r="L466" i="1"/>
  <c r="L464" i="1"/>
  <c r="L465" i="1"/>
  <c r="L463" i="1"/>
  <c r="L461" i="1"/>
  <c r="L462" i="1"/>
  <c r="L460" i="1"/>
  <c r="L459" i="1"/>
  <c r="L458" i="1"/>
  <c r="L457" i="1"/>
  <c r="L456" i="1"/>
  <c r="L455" i="1"/>
  <c r="L453" i="1"/>
  <c r="L454" i="1"/>
  <c r="L452" i="1"/>
  <c r="L451" i="1"/>
  <c r="L450" i="1"/>
  <c r="L448" i="1"/>
  <c r="L449" i="1"/>
  <c r="L447" i="1"/>
  <c r="L445" i="1"/>
  <c r="L446" i="1"/>
  <c r="L443" i="1"/>
  <c r="L444" i="1"/>
  <c r="L442" i="1"/>
  <c r="L441" i="1"/>
  <c r="L438" i="1"/>
  <c r="L439" i="1"/>
  <c r="L440" i="1"/>
  <c r="L436" i="1"/>
  <c r="L437" i="1"/>
  <c r="L433" i="1"/>
  <c r="L434" i="1"/>
  <c r="L435" i="1"/>
  <c r="L432" i="1"/>
  <c r="L431" i="1"/>
  <c r="L430" i="1"/>
  <c r="L428" i="1"/>
  <c r="L429" i="1"/>
  <c r="L427" i="1"/>
  <c r="L425" i="1"/>
  <c r="L426" i="1"/>
  <c r="L424" i="1"/>
  <c r="L423" i="1"/>
  <c r="L421" i="1"/>
  <c r="L422" i="1"/>
  <c r="L420" i="1"/>
  <c r="L419" i="1"/>
  <c r="L417" i="1"/>
  <c r="L418" i="1"/>
  <c r="L415" i="1"/>
  <c r="L416" i="1"/>
  <c r="L414" i="1"/>
  <c r="L413" i="1"/>
  <c r="L412" i="1"/>
  <c r="L411" i="1"/>
  <c r="L410" i="1"/>
  <c r="L408" i="1"/>
  <c r="L409" i="1"/>
  <c r="L406" i="1"/>
  <c r="L407" i="1"/>
  <c r="L405" i="1"/>
  <c r="L404" i="1"/>
  <c r="L403" i="1"/>
  <c r="L400" i="1"/>
  <c r="L401" i="1"/>
  <c r="L402" i="1"/>
  <c r="L399" i="1"/>
  <c r="L398" i="1"/>
  <c r="L397" i="1"/>
  <c r="L395" i="1"/>
  <c r="L396" i="1"/>
  <c r="L394" i="1"/>
  <c r="L393" i="1"/>
  <c r="L392" i="1"/>
  <c r="L391" i="1"/>
  <c r="L390" i="1"/>
  <c r="L389" i="1"/>
  <c r="L388" i="1"/>
  <c r="L387" i="1"/>
  <c r="L385" i="1"/>
  <c r="L386" i="1"/>
  <c r="L383" i="1"/>
  <c r="L384" i="1"/>
  <c r="L381" i="1"/>
  <c r="L382" i="1"/>
  <c r="L379" i="1"/>
  <c r="L380" i="1"/>
  <c r="L378" i="1"/>
  <c r="L377" i="1"/>
  <c r="L375" i="1"/>
  <c r="L376" i="1"/>
  <c r="L374" i="1"/>
  <c r="L372" i="1"/>
  <c r="L373" i="1"/>
  <c r="L370" i="1"/>
  <c r="L371" i="1"/>
  <c r="L369" i="1"/>
  <c r="L366" i="1"/>
  <c r="L367" i="1"/>
  <c r="L368" i="1"/>
  <c r="L365" i="1"/>
  <c r="L364" i="1"/>
  <c r="L362" i="1"/>
  <c r="L363" i="1"/>
  <c r="L361" i="1"/>
  <c r="L360" i="1"/>
  <c r="L359" i="1"/>
  <c r="L357" i="1"/>
  <c r="L358" i="1"/>
  <c r="L356" i="1"/>
  <c r="L355" i="1"/>
  <c r="L353" i="1"/>
  <c r="L354" i="1"/>
  <c r="L352" i="1"/>
  <c r="L351" i="1"/>
  <c r="L350" i="1"/>
  <c r="L349" i="1"/>
  <c r="L348" i="1"/>
  <c r="L345" i="1"/>
  <c r="L346" i="1"/>
  <c r="L347" i="1"/>
  <c r="L344" i="1"/>
  <c r="L343" i="1"/>
  <c r="L342" i="1"/>
  <c r="L341" i="1"/>
  <c r="L340" i="1"/>
  <c r="L338" i="1"/>
  <c r="L339" i="1"/>
  <c r="L337" i="1"/>
  <c r="L336" i="1"/>
  <c r="L335" i="1"/>
  <c r="L334" i="1"/>
  <c r="L332" i="1"/>
  <c r="L333" i="1"/>
  <c r="L331" i="1"/>
  <c r="L330" i="1"/>
  <c r="L329" i="1"/>
  <c r="L328" i="1"/>
  <c r="L326" i="1"/>
  <c r="L327" i="1"/>
  <c r="L325" i="1"/>
  <c r="L323" i="1"/>
  <c r="L324" i="1"/>
  <c r="L322" i="1"/>
  <c r="L320" i="1"/>
  <c r="L321" i="1"/>
  <c r="L318" i="1"/>
  <c r="L319" i="1"/>
  <c r="L317" i="1"/>
  <c r="L314" i="1"/>
  <c r="L315" i="1"/>
  <c r="L316" i="1"/>
  <c r="L313" i="1"/>
  <c r="L312" i="1"/>
  <c r="L309" i="1"/>
  <c r="L310" i="1"/>
  <c r="L311" i="1"/>
  <c r="L308" i="1"/>
  <c r="L307" i="1"/>
  <c r="L306" i="1"/>
  <c r="L304" i="1"/>
  <c r="L305" i="1"/>
  <c r="L303" i="1"/>
  <c r="L302" i="1"/>
  <c r="L301" i="1"/>
  <c r="L299" i="1"/>
  <c r="L300" i="1"/>
  <c r="L298" i="1"/>
  <c r="L297" i="1"/>
  <c r="L296" i="1"/>
  <c r="L295" i="1"/>
  <c r="L293" i="1"/>
  <c r="L294" i="1"/>
  <c r="L292" i="1"/>
  <c r="L290" i="1"/>
  <c r="L291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4" i="1"/>
  <c r="L275" i="1"/>
  <c r="L272" i="1"/>
  <c r="L273" i="1"/>
  <c r="L271" i="1"/>
  <c r="L270" i="1"/>
  <c r="L269" i="1"/>
  <c r="L268" i="1"/>
  <c r="L267" i="1"/>
  <c r="L266" i="1"/>
  <c r="L265" i="1"/>
  <c r="L264" i="1"/>
  <c r="L263" i="1"/>
  <c r="L262" i="1"/>
  <c r="L261" i="1"/>
  <c r="L259" i="1"/>
  <c r="L260" i="1"/>
  <c r="L258" i="1"/>
  <c r="L257" i="1"/>
  <c r="L256" i="1"/>
  <c r="L255" i="1"/>
  <c r="L254" i="1"/>
  <c r="L253" i="1"/>
  <c r="L252" i="1"/>
  <c r="L251" i="1"/>
  <c r="L250" i="1"/>
  <c r="L248" i="1"/>
  <c r="L249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6" i="1"/>
  <c r="L227" i="1"/>
  <c r="L225" i="1"/>
  <c r="L224" i="1"/>
  <c r="L223" i="1"/>
  <c r="L222" i="1"/>
  <c r="L221" i="1"/>
  <c r="L219" i="1"/>
  <c r="L220" i="1"/>
  <c r="L217" i="1"/>
  <c r="L218" i="1"/>
  <c r="L216" i="1"/>
  <c r="L215" i="1"/>
  <c r="L214" i="1"/>
  <c r="L213" i="1"/>
  <c r="L212" i="1"/>
  <c r="L211" i="1"/>
  <c r="L210" i="1"/>
  <c r="L209" i="1"/>
  <c r="L208" i="1"/>
  <c r="L207" i="1"/>
  <c r="L206" i="1"/>
  <c r="L203" i="1"/>
  <c r="L204" i="1"/>
  <c r="L205" i="1"/>
  <c r="L201" i="1"/>
  <c r="L202" i="1"/>
  <c r="L200" i="1"/>
  <c r="L198" i="1"/>
  <c r="L199" i="1"/>
  <c r="L197" i="1"/>
  <c r="L194" i="1"/>
  <c r="L195" i="1"/>
  <c r="L196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0" i="1"/>
  <c r="L171" i="1"/>
  <c r="L169" i="1"/>
  <c r="L168" i="1"/>
  <c r="L166" i="1"/>
  <c r="L167" i="1"/>
  <c r="L165" i="1"/>
  <c r="L164" i="1"/>
  <c r="L163" i="1"/>
  <c r="L162" i="1"/>
  <c r="L161" i="1"/>
  <c r="L160" i="1"/>
  <c r="L159" i="1"/>
  <c r="L158" i="1"/>
  <c r="L157" i="1"/>
  <c r="L154" i="1"/>
  <c r="L155" i="1"/>
  <c r="L156" i="1"/>
  <c r="L153" i="1"/>
  <c r="L152" i="1"/>
  <c r="L151" i="1"/>
  <c r="L150" i="1"/>
  <c r="L149" i="1"/>
  <c r="L148" i="1"/>
  <c r="L147" i="1"/>
  <c r="L146" i="1"/>
  <c r="L144" i="1"/>
  <c r="L145" i="1"/>
  <c r="L143" i="1"/>
  <c r="L142" i="1"/>
  <c r="L141" i="1"/>
  <c r="L140" i="1"/>
  <c r="L139" i="1"/>
  <c r="L138" i="1"/>
  <c r="L136" i="1"/>
  <c r="L137" i="1"/>
  <c r="L135" i="1"/>
  <c r="L134" i="1"/>
  <c r="L133" i="1"/>
  <c r="L131" i="1"/>
  <c r="L132" i="1"/>
  <c r="L130" i="1"/>
  <c r="L128" i="1"/>
  <c r="L129" i="1"/>
  <c r="L127" i="1"/>
  <c r="L126" i="1"/>
  <c r="L125" i="1"/>
  <c r="L124" i="1"/>
  <c r="L123" i="1"/>
  <c r="L122" i="1"/>
  <c r="L120" i="1"/>
  <c r="L121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3" i="1"/>
  <c r="L104" i="1"/>
  <c r="L102" i="1"/>
  <c r="L101" i="1"/>
  <c r="L100" i="1"/>
  <c r="L98" i="1"/>
  <c r="L99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3" i="1"/>
  <c r="L84" i="1"/>
  <c r="L82" i="1"/>
  <c r="L81" i="1"/>
  <c r="L79" i="1"/>
  <c r="L80" i="1"/>
  <c r="L78" i="1"/>
  <c r="L77" i="1"/>
  <c r="L76" i="1"/>
  <c r="L75" i="1"/>
  <c r="L74" i="1"/>
  <c r="L73" i="1"/>
  <c r="L72" i="1"/>
  <c r="L71" i="1"/>
  <c r="L70" i="1"/>
  <c r="L69" i="1"/>
  <c r="L68" i="1"/>
  <c r="L66" i="1"/>
  <c r="L67" i="1"/>
  <c r="L65" i="1"/>
  <c r="L64" i="1"/>
  <c r="L63" i="1"/>
  <c r="L62" i="1"/>
  <c r="L61" i="1"/>
  <c r="L59" i="1"/>
  <c r="L60" i="1"/>
  <c r="L57" i="1"/>
  <c r="L58" i="1"/>
  <c r="L56" i="1"/>
  <c r="L55" i="1"/>
  <c r="L54" i="1"/>
  <c r="L53" i="1"/>
  <c r="L52" i="1"/>
  <c r="L51" i="1"/>
  <c r="L49" i="1"/>
  <c r="L50" i="1"/>
  <c r="L48" i="1"/>
  <c r="L47" i="1"/>
  <c r="L45" i="1"/>
  <c r="L46" i="1"/>
  <c r="L44" i="1"/>
  <c r="L43" i="1"/>
  <c r="L42" i="1"/>
  <c r="L41" i="1"/>
  <c r="L40" i="1"/>
  <c r="L39" i="1"/>
  <c r="L37" i="1"/>
  <c r="L38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8" i="1"/>
  <c r="L6" i="1"/>
  <c r="L5" i="1"/>
  <c r="L4" i="1"/>
  <c r="L2" i="1"/>
  <c r="L3" i="1"/>
  <c r="J1739" i="1" l="1"/>
  <c r="J353" i="1"/>
  <c r="J1381" i="1"/>
  <c r="J1464" i="1"/>
  <c r="J1291" i="1"/>
  <c r="J85" i="1"/>
  <c r="J701" i="1"/>
  <c r="J1076" i="1"/>
  <c r="J1081" i="1"/>
  <c r="J637" i="1"/>
  <c r="J676" i="1"/>
  <c r="J1244" i="1"/>
  <c r="J630" i="1"/>
  <c r="J1213" i="1"/>
  <c r="J910" i="1"/>
  <c r="J1440" i="1"/>
  <c r="J142" i="1"/>
  <c r="J1520" i="1"/>
  <c r="J32" i="1"/>
  <c r="J1031" i="1"/>
  <c r="J734" i="1"/>
  <c r="J566" i="1"/>
  <c r="J1092" i="1"/>
  <c r="J1910" i="1"/>
  <c r="J1358" i="1"/>
  <c r="J591" i="1"/>
  <c r="J1633" i="1"/>
  <c r="J216" i="1"/>
  <c r="J697" i="1"/>
  <c r="J1970" i="1"/>
  <c r="J553" i="1"/>
  <c r="J1202" i="1"/>
  <c r="J375" i="1"/>
  <c r="J1008" i="1"/>
  <c r="J921" i="1"/>
  <c r="J474" i="1"/>
  <c r="J1732" i="1"/>
  <c r="J705" i="1"/>
  <c r="J1983" i="1"/>
  <c r="J284" i="1"/>
  <c r="J1844" i="1"/>
  <c r="J1451" i="1"/>
  <c r="J1919" i="1"/>
  <c r="J1792" i="1"/>
  <c r="J1510" i="1"/>
  <c r="J646" i="1"/>
  <c r="J872" i="1"/>
  <c r="J1722" i="1"/>
  <c r="J1691" i="1"/>
  <c r="J11" i="1"/>
  <c r="J1884" i="1"/>
  <c r="J1549" i="1"/>
  <c r="J276" i="1"/>
  <c r="J1117" i="1"/>
  <c r="J607" i="1"/>
  <c r="J1356" i="1"/>
  <c r="J1672" i="1"/>
  <c r="J1201" i="1"/>
  <c r="J785" i="1"/>
  <c r="J225" i="1"/>
  <c r="J453" i="1"/>
  <c r="J552" i="1"/>
  <c r="J1423" i="1"/>
  <c r="J395" i="1"/>
  <c r="J1353" i="1"/>
  <c r="J1830" i="1"/>
  <c r="J105" i="1"/>
  <c r="J215" i="1"/>
  <c r="J377" i="1"/>
  <c r="J420" i="1"/>
  <c r="J940" i="1"/>
  <c r="J1773" i="1"/>
  <c r="J511" i="1"/>
  <c r="J1683" i="1"/>
  <c r="J1681" i="1"/>
  <c r="J303" i="1"/>
  <c r="J700" i="1"/>
  <c r="J1496" i="1"/>
  <c r="J1954" i="1"/>
  <c r="J1599" i="1"/>
  <c r="J1818" i="1"/>
  <c r="J1499" i="1"/>
  <c r="J447" i="1"/>
  <c r="J1952" i="1"/>
  <c r="J83" i="1"/>
  <c r="J7" i="1"/>
  <c r="J731" i="1"/>
  <c r="J1255" i="1"/>
  <c r="J1289" i="1"/>
  <c r="J1939" i="1"/>
  <c r="J454" i="1"/>
  <c r="J497" i="1"/>
  <c r="J1701" i="1"/>
  <c r="J1938" i="1"/>
  <c r="J425" i="1"/>
  <c r="J1453" i="1"/>
  <c r="J1694" i="1"/>
  <c r="J1119" i="1"/>
  <c r="J1756" i="1"/>
  <c r="J1020" i="1"/>
  <c r="J71" i="1"/>
  <c r="J1934" i="1"/>
  <c r="J97" i="1"/>
  <c r="J1233" i="1"/>
  <c r="J331" i="1"/>
  <c r="J787" i="1"/>
  <c r="J1850" i="1"/>
  <c r="J1893" i="1"/>
  <c r="J1562" i="1"/>
  <c r="J1319" i="1"/>
  <c r="J612" i="1"/>
  <c r="J1189" i="1"/>
  <c r="J410" i="1"/>
  <c r="J299" i="1"/>
  <c r="J1400" i="1"/>
  <c r="J1269" i="1"/>
  <c r="J1293" i="1"/>
  <c r="J482" i="1"/>
  <c r="J1859" i="1"/>
  <c r="J238" i="1"/>
  <c r="J934" i="1"/>
  <c r="J1336" i="1"/>
  <c r="J1961" i="1"/>
  <c r="J849" i="1"/>
  <c r="J415" i="1"/>
  <c r="J1525" i="1"/>
  <c r="J1662" i="1"/>
  <c r="J164" i="1"/>
  <c r="J1637" i="1"/>
  <c r="J1869" i="1"/>
  <c r="J1616" i="1"/>
  <c r="J602" i="1"/>
  <c r="J824" i="1"/>
  <c r="J125" i="1"/>
  <c r="J130" i="1"/>
  <c r="J1932" i="1"/>
  <c r="J431" i="1"/>
  <c r="J654" i="1"/>
  <c r="J1718" i="1"/>
  <c r="J811" i="1"/>
  <c r="J1802" i="1"/>
  <c r="J1530" i="1"/>
  <c r="J1602" i="1"/>
  <c r="J91" i="1"/>
  <c r="J1168" i="1"/>
  <c r="J1634" i="1"/>
  <c r="J950" i="1"/>
  <c r="J106" i="1"/>
  <c r="J1775" i="1"/>
  <c r="J884" i="1"/>
  <c r="J1882" i="1"/>
  <c r="J1369" i="1"/>
  <c r="J1623" i="1"/>
  <c r="J991" i="1"/>
  <c r="J867" i="1"/>
  <c r="J1922" i="1"/>
  <c r="J480" i="1"/>
  <c r="J1518" i="1"/>
  <c r="J974" i="1"/>
  <c r="J49" i="1"/>
  <c r="J1348" i="1"/>
  <c r="J355" i="1"/>
  <c r="J1465" i="1"/>
  <c r="J77" i="1"/>
  <c r="J1774" i="1"/>
  <c r="J1503" i="1"/>
  <c r="J1025" i="1"/>
  <c r="J727" i="1"/>
  <c r="J1730" i="1"/>
  <c r="J1708" i="1"/>
  <c r="J1704" i="1"/>
  <c r="J441" i="1"/>
  <c r="J1894" i="1"/>
  <c r="J194" i="1"/>
  <c r="J1900" i="1"/>
  <c r="J1712" i="1"/>
  <c r="J808" i="1"/>
  <c r="J969" i="1"/>
  <c r="J1114" i="1"/>
  <c r="J994" i="1"/>
  <c r="J1678" i="1"/>
  <c r="J1937" i="1"/>
  <c r="J221" i="1"/>
  <c r="J1023" i="1"/>
  <c r="J1853" i="1"/>
  <c r="J1889" i="1"/>
  <c r="J1137" i="1"/>
  <c r="J1212" i="1"/>
  <c r="J172" i="1"/>
  <c r="J1245" i="1"/>
  <c r="J1171" i="1"/>
  <c r="J438" i="1"/>
  <c r="J1765" i="1"/>
  <c r="J317" i="1"/>
  <c r="J1029" i="1"/>
  <c r="J1836" i="1"/>
  <c r="J1266" i="1"/>
  <c r="J1526" i="1"/>
  <c r="J1251" i="1"/>
  <c r="J1200" i="1"/>
  <c r="J1113" i="1"/>
  <c r="J1425" i="1"/>
  <c r="J337" i="1"/>
  <c r="J1819" i="1"/>
  <c r="J812" i="1"/>
  <c r="J1572" i="1"/>
  <c r="J790" i="1"/>
  <c r="J598" i="1"/>
  <c r="J567" i="1"/>
  <c r="J521" i="1"/>
  <c r="J917" i="1"/>
  <c r="J300" i="1"/>
  <c r="J1101" i="1"/>
  <c r="J350" i="1"/>
  <c r="J1795" i="1"/>
  <c r="J922" i="1"/>
  <c r="J502" i="1"/>
  <c r="J688" i="1"/>
  <c r="J1461" i="1"/>
  <c r="J1416" i="1"/>
  <c r="J791" i="1"/>
  <c r="J622" i="1"/>
  <c r="J1286" i="1"/>
  <c r="J537" i="1"/>
  <c r="J613" i="1"/>
  <c r="J1351" i="1"/>
  <c r="J1394" i="1"/>
  <c r="J810" i="1"/>
  <c r="J206" i="1"/>
  <c r="J1993" i="1"/>
  <c r="J1228" i="1"/>
  <c r="J1566" i="1"/>
  <c r="J1988" i="1"/>
  <c r="J1413" i="1"/>
  <c r="J1521" i="1"/>
  <c r="J836" i="1"/>
  <c r="J475" i="1"/>
  <c r="J436" i="1"/>
  <c r="J728" i="1"/>
  <c r="J1048" i="1"/>
  <c r="J122" i="1"/>
  <c r="J533" i="1"/>
  <c r="J1452" i="1"/>
  <c r="J1710" i="1"/>
  <c r="J228" i="1"/>
  <c r="J1627" i="1"/>
  <c r="J37" i="1"/>
  <c r="J268" i="1"/>
  <c r="J544" i="1"/>
  <c r="J230" i="1"/>
  <c r="J1302" i="1"/>
  <c r="J1825" i="1"/>
  <c r="J860" i="1"/>
  <c r="J1225" i="1"/>
  <c r="J338" i="1"/>
  <c r="J1217" i="1"/>
  <c r="J506" i="1"/>
  <c r="J1112" i="1"/>
  <c r="J1594" i="1"/>
  <c r="J890" i="1"/>
  <c r="J290" i="1"/>
  <c r="J698" i="1"/>
  <c r="J538" i="1"/>
  <c r="J450" i="1"/>
  <c r="J1519" i="1"/>
  <c r="J1179" i="1"/>
  <c r="J1657" i="1"/>
  <c r="J292" i="1"/>
  <c r="J1854" i="1"/>
  <c r="J1003" i="1"/>
  <c r="J177" i="1"/>
  <c r="J1349" i="1"/>
  <c r="J1090" i="1"/>
  <c r="J943" i="1"/>
  <c r="J1846" i="1"/>
  <c r="J408" i="1"/>
  <c r="J964" i="1"/>
  <c r="J719" i="1"/>
  <c r="J1695" i="1"/>
  <c r="J1342" i="1"/>
  <c r="J1059" i="1"/>
  <c r="J154" i="1"/>
  <c r="J729" i="1"/>
  <c r="J563" i="1"/>
  <c r="J1147" i="1"/>
  <c r="J1512" i="1"/>
  <c r="J1429" i="1"/>
  <c r="J815" i="1"/>
  <c r="J376" i="1"/>
  <c r="J813" i="1"/>
  <c r="J664" i="1"/>
  <c r="J128" i="1"/>
  <c r="J1436" i="1"/>
  <c r="J1588" i="1"/>
  <c r="J1271" i="1"/>
  <c r="J1192" i="1"/>
  <c r="J381" i="1"/>
  <c r="J1935" i="1"/>
  <c r="J27" i="1"/>
  <c r="J1485" i="1"/>
  <c r="J663" i="1"/>
  <c r="J1427" i="1"/>
  <c r="J954" i="1"/>
  <c r="J1476" i="1"/>
  <c r="J586" i="1"/>
  <c r="J515" i="1"/>
  <c r="J1288" i="1"/>
  <c r="J711" i="1"/>
  <c r="J1122" i="1"/>
  <c r="J986" i="1"/>
  <c r="J1787" i="1"/>
  <c r="J111" i="1"/>
  <c r="J1478" i="1"/>
  <c r="J1575" i="1"/>
  <c r="J1944" i="1"/>
  <c r="J581" i="1"/>
  <c r="J237" i="1"/>
  <c r="J1843" i="1"/>
  <c r="J1006" i="1"/>
  <c r="J396" i="1"/>
  <c r="J1422" i="1"/>
  <c r="J868" i="1"/>
  <c r="J274" i="1"/>
  <c r="J241" i="1"/>
  <c r="J1547" i="1"/>
  <c r="J1372" i="1"/>
  <c r="J414" i="1"/>
  <c r="J856" i="1"/>
  <c r="J603" i="1"/>
  <c r="J1974" i="1"/>
  <c r="J1958" i="1"/>
  <c r="J490" i="1"/>
  <c r="J820" i="1"/>
  <c r="J123" i="1"/>
  <c r="J1057" i="1"/>
  <c r="J1198" i="1"/>
  <c r="J1808" i="1"/>
  <c r="J489" i="1"/>
  <c r="J518" i="1"/>
  <c r="J946" i="1"/>
  <c r="J1524" i="1"/>
  <c r="J383" i="1"/>
  <c r="J1141" i="1"/>
  <c r="J951" i="1"/>
  <c r="J345" i="1"/>
  <c r="J134" i="1"/>
  <c r="J942" i="1"/>
  <c r="J1761" i="1"/>
  <c r="J308" i="1"/>
  <c r="J841" i="1"/>
  <c r="J1227" i="1"/>
  <c r="J1675" i="1"/>
  <c r="J671" i="1"/>
  <c r="J817" i="1"/>
  <c r="J473" i="1"/>
  <c r="J763" i="1"/>
  <c r="J1771" i="1"/>
  <c r="J564" i="1"/>
  <c r="J944" i="1"/>
  <c r="J973" i="1"/>
  <c r="J13" i="1"/>
  <c r="J1449" i="1"/>
  <c r="J248" i="1"/>
  <c r="J272" i="1"/>
  <c r="J1324" i="1"/>
  <c r="J1976" i="1"/>
  <c r="J342" i="1"/>
  <c r="J1322" i="1"/>
  <c r="J1279" i="1"/>
  <c r="J1638" i="1"/>
  <c r="J1604" i="1"/>
  <c r="J1406" i="1"/>
  <c r="J389" i="1"/>
  <c r="J1533" i="1"/>
  <c r="J1857" i="1"/>
  <c r="J94" i="1"/>
  <c r="J1789" i="1"/>
  <c r="J1569" i="1"/>
  <c r="J569" i="1"/>
  <c r="J704" i="1"/>
  <c r="J51" i="1"/>
  <c r="J229" i="1"/>
  <c r="J1487" i="1"/>
  <c r="J881" i="1"/>
  <c r="J1418" i="1"/>
  <c r="J1905" i="1"/>
  <c r="J539" i="1"/>
  <c r="J1654" i="1"/>
  <c r="J1796" i="1"/>
  <c r="J1385" i="1"/>
  <c r="J1809" i="1"/>
  <c r="J1042" i="1"/>
  <c r="J314" i="1"/>
  <c r="J897" i="1"/>
  <c r="J1134" i="1"/>
  <c r="J113" i="1"/>
  <c r="J336" i="1"/>
  <c r="J115" i="1"/>
  <c r="J1130" i="1"/>
  <c r="J1110" i="1"/>
  <c r="J736" i="1"/>
  <c r="J995" i="1"/>
  <c r="J459" i="1"/>
  <c r="J1596" i="1"/>
  <c r="J1075" i="1"/>
  <c r="J1515" i="1"/>
  <c r="J541" i="1"/>
  <c r="J1556" i="1"/>
  <c r="J1259" i="1"/>
  <c r="J1564" i="1"/>
  <c r="J1665" i="1"/>
  <c r="J213" i="1"/>
  <c r="J1986" i="1"/>
  <c r="J687" i="1"/>
  <c r="J624" i="1"/>
  <c r="J1613" i="1"/>
  <c r="J545" i="1"/>
  <c r="J1176" i="1"/>
  <c r="J1933" i="1"/>
  <c r="J1043" i="1"/>
  <c r="J247" i="1"/>
  <c r="J484" i="1"/>
  <c r="J1317" i="1"/>
  <c r="J1223" i="1"/>
  <c r="J1619" i="1"/>
  <c r="J1022" i="1"/>
  <c r="J1380" i="1"/>
  <c r="J1901" i="1"/>
  <c r="J993" i="1"/>
  <c r="J1628" i="1"/>
  <c r="J659" i="1"/>
  <c r="J903" i="1"/>
  <c r="J1331" i="1"/>
  <c r="J467" i="1"/>
  <c r="J1306" i="1"/>
  <c r="J873" i="1"/>
  <c r="J18" i="1"/>
  <c r="J1408" i="1"/>
  <c r="J1865" i="1"/>
  <c r="J1841" i="1"/>
  <c r="J433" i="1"/>
  <c r="J1390" i="1"/>
  <c r="J455" i="1"/>
  <c r="J748" i="1"/>
  <c r="J1834" i="1"/>
  <c r="J1146" i="1"/>
  <c r="J40" i="1"/>
  <c r="J1845" i="1"/>
  <c r="J1325" i="1"/>
  <c r="J828" i="1"/>
  <c r="J1847" i="1"/>
  <c r="J583" i="1"/>
  <c r="J1460" i="1"/>
  <c r="J323" i="1"/>
  <c r="J1660" i="1"/>
  <c r="J1014" i="1"/>
  <c r="J1573" i="1"/>
  <c r="J1731" i="1"/>
  <c r="J1462" i="1"/>
  <c r="J845" i="1"/>
  <c r="J1280" i="1"/>
  <c r="J304" i="1"/>
  <c r="J923" i="1"/>
  <c r="J1118" i="1"/>
  <c r="J397" i="1"/>
  <c r="J809" i="1"/>
  <c r="J1437" i="1"/>
  <c r="J997" i="1"/>
  <c r="J1943" i="1"/>
  <c r="J582" i="1"/>
  <c r="J761" i="1"/>
  <c r="J1028" i="1"/>
  <c r="J814" i="1"/>
  <c r="J346" i="1"/>
  <c r="J1237" i="1"/>
  <c r="J1258" i="1"/>
  <c r="J1527" i="1"/>
  <c r="J1559" i="1"/>
  <c r="J737" i="1"/>
  <c r="J1658" i="1"/>
  <c r="J988" i="1"/>
  <c r="J1779" i="1"/>
  <c r="J1242" i="1"/>
  <c r="J173" i="1"/>
  <c r="J1246" i="1"/>
  <c r="J176" i="1"/>
  <c r="J36" i="1"/>
  <c r="J1447" i="1"/>
  <c r="J1719" i="1"/>
  <c r="J1382" i="1"/>
  <c r="J1536" i="1"/>
  <c r="J1950" i="1"/>
  <c r="J1143" i="1"/>
  <c r="J102" i="1"/>
  <c r="J107" i="1"/>
  <c r="J1207" i="1"/>
  <c r="J1216" i="1"/>
  <c r="J900" i="1"/>
  <c r="J461" i="1"/>
  <c r="J1096" i="1"/>
  <c r="J1140" i="1"/>
  <c r="J388" i="1"/>
  <c r="J1544" i="1"/>
  <c r="J1650" i="1"/>
  <c r="J1545" i="1"/>
  <c r="J842" i="1"/>
  <c r="J708" i="1"/>
  <c r="J585" i="1"/>
  <c r="J1902" i="1"/>
  <c r="J741" i="1"/>
  <c r="J79" i="1"/>
  <c r="J470" i="1"/>
  <c r="J1967" i="1"/>
  <c r="J1513" i="1"/>
  <c r="J992" i="1"/>
  <c r="J1403" i="1"/>
  <c r="J443" i="1"/>
  <c r="J231" i="1"/>
  <c r="J129" i="1"/>
  <c r="J1945" i="1"/>
  <c r="J416" i="1"/>
  <c r="J1479" i="1"/>
  <c r="J948" i="1"/>
  <c r="J75" i="1"/>
  <c r="J1769" i="1"/>
  <c r="J1931" i="1"/>
  <c r="J1033" i="1"/>
  <c r="J1384" i="1"/>
  <c r="J1164" i="1"/>
  <c r="J675" i="1"/>
  <c r="J103" i="1"/>
  <c r="J61" i="1"/>
  <c r="J680" i="1"/>
  <c r="J495" i="1"/>
  <c r="J1458" i="1"/>
  <c r="J34" i="1"/>
  <c r="J72" i="1"/>
  <c r="J1127" i="1"/>
  <c r="J1187" i="1"/>
  <c r="J725" i="1"/>
  <c r="J211" i="1"/>
  <c r="J574" i="1"/>
  <c r="J953" i="1"/>
  <c r="J427" i="1"/>
  <c r="J9" i="1"/>
  <c r="J876" i="1"/>
  <c r="J1686" i="1"/>
  <c r="J647" i="1"/>
  <c r="J1475" i="1"/>
  <c r="J1537" i="1"/>
  <c r="J136" i="1"/>
  <c r="J517" i="1"/>
  <c r="J257" i="1"/>
  <c r="J10" i="1"/>
  <c r="J1363" i="1"/>
  <c r="J98" i="1"/>
  <c r="J1862" i="1"/>
  <c r="J382" i="1"/>
  <c r="J409" i="1"/>
  <c r="J503" i="1"/>
  <c r="J891" i="1"/>
  <c r="J1514" i="1"/>
  <c r="J1318" i="1"/>
  <c r="J527" i="1"/>
  <c r="J1455" i="1"/>
  <c r="J526" i="1"/>
  <c r="J846" i="1"/>
  <c r="J774" i="1"/>
  <c r="J1659" i="1"/>
  <c r="J186" i="1"/>
  <c r="J620" i="1"/>
  <c r="J1963" i="1"/>
  <c r="J656" i="1"/>
  <c r="J1679" i="1"/>
  <c r="J1009" i="1"/>
  <c r="J1300" i="1"/>
  <c r="J732" i="1"/>
  <c r="J1754" i="1"/>
  <c r="J909" i="1"/>
  <c r="J1810" i="1"/>
  <c r="J1303" i="1"/>
  <c r="J898" i="1"/>
  <c r="J1156" i="1"/>
  <c r="J1058" i="1"/>
  <c r="J487" i="1"/>
  <c r="J261" i="1"/>
  <c r="J977" i="1"/>
  <c r="J1656" i="1"/>
  <c r="J329" i="1"/>
  <c r="J432" i="1"/>
  <c r="J181" i="1"/>
  <c r="J1553" i="1"/>
  <c r="J1977" i="1"/>
  <c r="J426" i="1"/>
  <c r="J43" i="1"/>
  <c r="J618" i="1"/>
  <c r="J1173" i="1"/>
  <c r="J560" i="1"/>
  <c r="J398" i="1"/>
  <c r="J1362" i="1"/>
  <c r="J138" i="1"/>
  <c r="J2" i="1"/>
  <c r="J1827" i="1"/>
  <c r="J936" i="1"/>
  <c r="J1327" i="1"/>
  <c r="J139" i="1"/>
  <c r="J1419" i="1"/>
  <c r="J935" i="1"/>
  <c r="J347" i="1"/>
  <c r="J614" i="1"/>
  <c r="J683" i="1"/>
  <c r="J1550" i="1"/>
  <c r="J859" i="1"/>
  <c r="J124" i="1"/>
  <c r="J1763" i="1"/>
  <c r="J920" i="1"/>
  <c r="J1801" i="1"/>
  <c r="J576" i="1"/>
  <c r="J1188" i="1"/>
  <c r="J1895" i="1"/>
  <c r="J404" i="1"/>
  <c r="J448" i="1"/>
  <c r="J1584" i="1"/>
  <c r="J297" i="1"/>
  <c r="J413" i="1"/>
  <c r="J1170" i="1"/>
  <c r="J1592" i="1"/>
  <c r="J1726" i="1"/>
  <c r="J713" i="1"/>
  <c r="J833" i="1"/>
  <c r="J1069" i="1"/>
  <c r="J1414" i="1"/>
  <c r="J399" i="1"/>
  <c r="J5" i="1"/>
  <c r="J1840" i="1"/>
  <c r="J931" i="1"/>
  <c r="J1621" i="1"/>
  <c r="J1191" i="1"/>
  <c r="J595" i="1"/>
  <c r="J1664" i="1"/>
  <c r="J926" i="1"/>
  <c r="J494" i="1"/>
  <c r="J802" i="1"/>
  <c r="J100" i="1"/>
  <c r="J904" i="1"/>
  <c r="J1086" i="1"/>
  <c r="J188" i="1"/>
  <c r="J792" i="1"/>
  <c r="J1273" i="1"/>
  <c r="J1867" i="1"/>
  <c r="J1182" i="1"/>
  <c r="J1426" i="1"/>
  <c r="J1481" i="1"/>
  <c r="J643" i="1"/>
  <c r="J150" i="1"/>
  <c r="J1528" i="1"/>
  <c r="J616" i="1"/>
  <c r="J838" i="1"/>
  <c r="J1626" i="1"/>
  <c r="J619" i="1"/>
  <c r="J592" i="1"/>
  <c r="J634" i="1"/>
  <c r="J1667" i="1"/>
  <c r="J96" i="1"/>
  <c r="J1177" i="1"/>
  <c r="J351" i="1"/>
  <c r="J1946" i="1"/>
  <c r="J1274" i="1"/>
  <c r="J1591" i="1"/>
  <c r="J1505" i="1"/>
  <c r="J255" i="1"/>
  <c r="J726" i="1"/>
  <c r="J1858" i="1"/>
  <c r="J839" i="1"/>
  <c r="J233" i="1"/>
  <c r="J1839" i="1"/>
  <c r="J1971" i="1"/>
  <c r="J1341" i="1"/>
  <c r="J1071" i="1"/>
  <c r="J636" i="1"/>
  <c r="J1010" i="1"/>
  <c r="J914" i="1"/>
  <c r="J1175" i="1"/>
  <c r="J117" i="1"/>
  <c r="J1715" i="1"/>
  <c r="J1741" i="1"/>
  <c r="J445" i="1"/>
  <c r="J1272" i="1"/>
  <c r="J412" i="1"/>
  <c r="J1105" i="1"/>
  <c r="J1194" i="1"/>
  <c r="J1208" i="1"/>
  <c r="J1036" i="1"/>
  <c r="J464" i="1"/>
  <c r="J1646" i="1"/>
  <c r="J315" i="1"/>
  <c r="J1757" i="1"/>
  <c r="J183" i="1"/>
  <c r="J721" i="1"/>
  <c r="J1597" i="1"/>
  <c r="J571" i="1"/>
  <c r="J1898" i="1"/>
  <c r="J1883" i="1"/>
  <c r="J984" i="1"/>
  <c r="J66" i="1"/>
  <c r="J740" i="1"/>
  <c r="J235" i="1"/>
  <c r="J572" i="1"/>
  <c r="J265" i="1"/>
  <c r="J1755" i="1"/>
  <c r="J1531" i="1"/>
  <c r="J1002" i="1"/>
  <c r="J1402" i="1"/>
  <c r="J191" i="1"/>
  <c r="J1911" i="1"/>
  <c r="J649" i="1"/>
  <c r="J258" i="1"/>
  <c r="J42" i="1"/>
  <c r="J1720" i="1"/>
  <c r="J1084" i="1"/>
  <c r="J168" i="1"/>
  <c r="J983" i="1"/>
  <c r="J829" i="1"/>
  <c r="J1323" i="1"/>
  <c r="J112" i="1"/>
  <c r="J1276" i="1"/>
  <c r="J316" i="1"/>
  <c r="J1918" i="1"/>
  <c r="J1211" i="1"/>
  <c r="J1474" i="1"/>
  <c r="J1428" i="1"/>
  <c r="J1214" i="1"/>
  <c r="J400" i="1"/>
  <c r="J869" i="1"/>
  <c r="J1297" i="1"/>
  <c r="J1398" i="1"/>
  <c r="J434" i="1"/>
  <c r="J1307" i="1"/>
  <c r="J8" i="1"/>
  <c r="J1794" i="1"/>
  <c r="J428" i="1"/>
  <c r="J144" i="1"/>
  <c r="J1294" i="1"/>
  <c r="J1063" i="1"/>
  <c r="J1338" i="1"/>
  <c r="J1990" i="1"/>
  <c r="J547" i="1"/>
  <c r="J1582" i="1"/>
  <c r="J963" i="1"/>
  <c r="J452" i="1"/>
  <c r="J1098" i="1"/>
  <c r="J360" i="1"/>
  <c r="J1468" i="1"/>
  <c r="J1609" i="1"/>
  <c r="J901" i="1"/>
  <c r="J1209" i="1"/>
  <c r="J947" i="1"/>
  <c r="J262" i="1"/>
  <c r="J1417" i="1"/>
  <c r="J89" i="1"/>
  <c r="J885" i="1"/>
  <c r="J1973" i="1"/>
  <c r="J1563" i="1"/>
  <c r="J1360" i="1"/>
  <c r="J1501" i="1"/>
  <c r="J1576" i="1"/>
  <c r="J1247" i="1"/>
  <c r="J1407" i="1"/>
  <c r="J74" i="1"/>
  <c r="J1680" i="1"/>
  <c r="J1697" i="1"/>
  <c r="J1629" i="1"/>
  <c r="J1640" i="1"/>
  <c r="J952" i="1"/>
  <c r="J1180" i="1"/>
  <c r="J1832" i="1"/>
  <c r="J165" i="1"/>
  <c r="J498" i="1"/>
  <c r="J1896" i="1"/>
  <c r="J1383" i="1"/>
  <c r="J1768" i="1"/>
  <c r="J1996" i="1"/>
  <c r="J50" i="1"/>
  <c r="J263" i="1"/>
  <c r="J979" i="1"/>
  <c r="J232" i="1"/>
  <c r="J1805" i="1"/>
  <c r="J1816" i="1"/>
  <c r="J212" i="1"/>
  <c r="J512" i="1"/>
  <c r="J861" i="1"/>
  <c r="J1806" i="1"/>
  <c r="J927" i="1"/>
  <c r="J924" i="1"/>
  <c r="J462" i="1"/>
  <c r="J1766" i="1"/>
  <c r="J370" i="1"/>
  <c r="J1254" i="1"/>
  <c r="J1780" i="1"/>
  <c r="J1663" i="1"/>
  <c r="J1728" i="1"/>
  <c r="J1486" i="1"/>
  <c r="J600" i="1"/>
  <c r="J264" i="1"/>
  <c r="J1257" i="1"/>
  <c r="J1037" i="1"/>
  <c r="J423" i="1"/>
  <c r="J1891" i="1"/>
  <c r="J1415" i="1"/>
  <c r="J349" i="1"/>
  <c r="J279" i="1"/>
  <c r="J1066" i="1"/>
  <c r="J1489" i="1"/>
  <c r="J1957" i="1"/>
  <c r="J1497" i="1"/>
  <c r="J1226" i="1"/>
  <c r="J562" i="1"/>
  <c r="J1197" i="1"/>
  <c r="J1821" i="1"/>
  <c r="J786" i="1"/>
  <c r="J326" i="1"/>
  <c r="J1125" i="1"/>
  <c r="J1100" i="1"/>
  <c r="J1308" i="1"/>
  <c r="J270" i="1"/>
  <c r="J638" i="1"/>
  <c r="J1284" i="1"/>
  <c r="J1120" i="1"/>
  <c r="J804" i="1"/>
  <c r="J339" i="1"/>
  <c r="J633" i="1"/>
  <c r="J340" i="1"/>
  <c r="J1196" i="1"/>
  <c r="J1316" i="1"/>
  <c r="J391" i="1"/>
  <c r="J1298" i="1"/>
  <c r="J1206" i="1"/>
  <c r="J695" i="1"/>
  <c r="J1154" i="1"/>
  <c r="J1471" i="1"/>
  <c r="J242" i="1"/>
  <c r="J703" i="1"/>
  <c r="J1109" i="1"/>
  <c r="J937" i="1"/>
  <c r="J295" i="1"/>
  <c r="J354" i="1"/>
  <c r="J146" i="1"/>
  <c r="J878" i="1"/>
  <c r="J1890" i="1"/>
  <c r="J1737" i="1"/>
  <c r="J1641" i="1"/>
  <c r="J1955" i="1"/>
  <c r="J1249" i="1"/>
  <c r="J508" i="1"/>
  <c r="J945" i="1"/>
  <c r="J192" i="1"/>
  <c r="J1745" i="1"/>
  <c r="J1781" i="1"/>
  <c r="J766" i="1"/>
  <c r="J1193" i="1"/>
  <c r="J1871" i="1"/>
  <c r="J1077" i="1"/>
  <c r="J1979" i="1"/>
  <c r="J108" i="1"/>
  <c r="J1624" i="1"/>
  <c r="J1968" i="1"/>
  <c r="J722" i="1"/>
  <c r="J246" i="1"/>
  <c r="J1717" i="1"/>
  <c r="J1734" i="1"/>
  <c r="J1868" i="1"/>
  <c r="J1361" i="1"/>
  <c r="J1698" i="1"/>
  <c r="J578" i="1"/>
  <c r="J1159" i="1"/>
  <c r="J496" i="1"/>
  <c r="J240" i="1"/>
  <c r="J835" i="1"/>
  <c r="J895" i="1"/>
  <c r="J200" i="1"/>
  <c r="J214" i="1"/>
  <c r="J1670" i="1"/>
  <c r="J1540" i="1"/>
  <c r="J672" i="1"/>
  <c r="J4" i="1"/>
  <c r="J365" i="1"/>
  <c r="J1150" i="1"/>
  <c r="J1240" i="1"/>
  <c r="J332" i="1"/>
  <c r="J1522" i="1"/>
  <c r="J770" i="1"/>
  <c r="J141" i="1"/>
  <c r="J479" i="1"/>
  <c r="J554" i="1"/>
  <c r="J1399" i="1"/>
  <c r="J1948" i="1"/>
  <c r="J1860" i="1"/>
  <c r="J967" i="1"/>
  <c r="J1107" i="1"/>
  <c r="J64" i="1"/>
  <c r="J879" i="1"/>
  <c r="J670" i="1"/>
  <c r="J1034" i="1"/>
  <c r="J1073" i="1"/>
  <c r="J1488" i="1"/>
  <c r="J1606" i="1"/>
  <c r="J406" i="1"/>
  <c r="J259" i="1"/>
  <c r="J796" i="1"/>
  <c r="J1045" i="1"/>
  <c r="J1940" i="1"/>
  <c r="J1873" i="1"/>
  <c r="J282" i="1"/>
  <c r="J1374" i="1"/>
  <c r="J777" i="1"/>
  <c r="J289" i="1"/>
  <c r="J1804" i="1"/>
  <c r="J243" i="1"/>
  <c r="J1442" i="1"/>
  <c r="J309" i="1"/>
  <c r="J1674" i="1"/>
  <c r="J1851" i="1"/>
  <c r="J1620" i="1"/>
  <c r="J189" i="1"/>
  <c r="J307" i="1"/>
  <c r="J1082" i="1"/>
  <c r="J184" i="1"/>
  <c r="J1030" i="1"/>
  <c r="J175" i="1"/>
  <c r="J1264" i="1"/>
  <c r="J738" i="1"/>
  <c r="J293" i="1"/>
  <c r="J932" i="1"/>
  <c r="J481" i="1"/>
  <c r="J793" i="1"/>
  <c r="J757" i="1"/>
  <c r="J1523" i="1"/>
  <c r="J1887" i="1"/>
  <c r="J119" i="1"/>
  <c r="J609" i="1"/>
  <c r="J1962" i="1"/>
  <c r="J714" i="1"/>
  <c r="J366" i="1"/>
  <c r="J1897" i="1"/>
  <c r="J1885" i="1"/>
  <c r="J1350" i="1"/>
  <c r="J1826" i="1"/>
  <c r="J1044" i="1"/>
  <c r="J601" i="1"/>
  <c r="J1778" i="1"/>
  <c r="J548" i="1"/>
  <c r="J273" i="1"/>
  <c r="J575" i="1"/>
  <c r="J143" i="1"/>
  <c r="J794" i="1"/>
  <c r="J596" i="1"/>
  <c r="J28" i="1"/>
  <c r="J491" i="1"/>
  <c r="J877" i="1"/>
  <c r="J1136" i="1"/>
  <c r="J25" i="1"/>
  <c r="J1495" i="1"/>
  <c r="J573" i="1"/>
  <c r="J53" i="1"/>
  <c r="J1509" i="1"/>
  <c r="J1570" i="1"/>
  <c r="J161" i="1"/>
  <c r="J801" i="1"/>
  <c r="J514" i="1"/>
  <c r="J1151" i="1"/>
  <c r="J449" i="1"/>
  <c r="J827" i="1"/>
  <c r="J1078" i="1"/>
  <c r="J1155" i="1"/>
  <c r="J312" i="1"/>
  <c r="J1054" i="1"/>
  <c r="J985" i="1"/>
  <c r="J127" i="1"/>
  <c r="J267" i="1"/>
  <c r="J352" i="1"/>
  <c r="J522" i="1"/>
  <c r="J1762" i="1"/>
  <c r="J912" i="1"/>
  <c r="J980" i="1"/>
  <c r="J710" i="1"/>
  <c r="J1743" i="1"/>
  <c r="J1532" i="1"/>
  <c r="J507" i="1"/>
  <c r="J126" i="1"/>
  <c r="J320" i="1"/>
  <c r="J1797" i="1"/>
  <c r="J1287" i="1"/>
  <c r="J260" i="1"/>
  <c r="J887" i="1"/>
  <c r="J1230" i="1"/>
  <c r="J1874" i="1"/>
  <c r="J357" i="1"/>
  <c r="J1278" i="1"/>
  <c r="J485" i="1"/>
  <c r="J1828" i="1"/>
  <c r="J1347" i="1"/>
  <c r="J696" i="1"/>
  <c r="J1085" i="1"/>
  <c r="J101" i="1"/>
  <c r="J874" i="1"/>
  <c r="J565" i="1"/>
  <c r="J160" i="1"/>
  <c r="J1018" i="1"/>
  <c r="J540" i="1"/>
  <c r="J1820" i="1"/>
  <c r="J1443" i="1"/>
  <c r="J1355" i="1"/>
  <c r="J1785" i="1"/>
  <c r="J959" i="1"/>
  <c r="J1126" i="1"/>
  <c r="J1571" i="1"/>
  <c r="J632" i="1"/>
  <c r="J1490" i="1"/>
  <c r="J6" i="1"/>
  <c r="J1750" i="1"/>
  <c r="J668" i="1"/>
  <c r="J1051" i="1"/>
  <c r="J140" i="1"/>
  <c r="J24" i="1"/>
  <c r="J1578" i="1"/>
  <c r="J513" i="1"/>
  <c r="J956" i="1"/>
  <c r="J1690" i="1"/>
  <c r="J157" i="1"/>
  <c r="J610" i="1"/>
  <c r="J1070" i="1"/>
  <c r="J178" i="1"/>
  <c r="J471" i="1"/>
  <c r="J1706" i="1"/>
  <c r="J278" i="1"/>
  <c r="J888" i="1"/>
  <c r="J742" i="1"/>
  <c r="J1080" i="1"/>
  <c r="J1467" i="1"/>
  <c r="J294" i="1"/>
  <c r="J1980" i="1"/>
  <c r="J1047" i="1"/>
  <c r="J1016" i="1"/>
  <c r="J52" i="1"/>
  <c r="J322" i="1"/>
  <c r="J1434" i="1"/>
  <c r="J605" i="1"/>
  <c r="J1178" i="1"/>
  <c r="J1142" i="1"/>
  <c r="J1183" i="1"/>
  <c r="J1823" i="1"/>
  <c r="J318" i="1"/>
  <c r="J159" i="1"/>
  <c r="J694" i="1"/>
  <c r="J499" i="1"/>
  <c r="J1923" i="1"/>
  <c r="J1004" i="1"/>
  <c r="J862" i="1"/>
  <c r="J1759" i="1"/>
  <c r="J1367" i="1"/>
  <c r="J1622" i="1"/>
  <c r="J86" i="1"/>
  <c r="J776" i="1"/>
  <c r="J1285" i="1"/>
  <c r="J104" i="1"/>
  <c r="J1872" i="1"/>
  <c r="J1994" i="1"/>
  <c r="J692" i="1"/>
  <c r="J81" i="1"/>
  <c r="J768" i="1"/>
  <c r="J639" i="1"/>
  <c r="J1909" i="1"/>
  <c r="J847" i="1"/>
  <c r="J334" i="1"/>
  <c r="J16" i="1"/>
  <c r="J1904" i="1"/>
  <c r="J57" i="1"/>
  <c r="J1705" i="1"/>
  <c r="J367" i="1"/>
  <c r="J198" i="1"/>
  <c r="J608" i="1"/>
  <c r="J1167" i="1"/>
  <c r="J1595" i="1"/>
  <c r="J1649" i="1"/>
  <c r="J1064" i="1"/>
  <c r="J516" i="1"/>
  <c r="J147" i="1"/>
  <c r="J1079" i="1"/>
  <c r="J477" i="1"/>
  <c r="J1277" i="1"/>
  <c r="J21" i="1"/>
  <c r="J405" i="1"/>
  <c r="J1729" i="1"/>
  <c r="J896" i="1"/>
  <c r="J712" i="1"/>
  <c r="J906" i="1"/>
  <c r="J1038" i="1"/>
  <c r="J1305" i="1"/>
  <c r="J1984" i="1"/>
  <c r="J15" i="1"/>
  <c r="J195" i="1"/>
  <c r="J1689" i="1"/>
  <c r="J1603" i="1"/>
  <c r="J779" i="1"/>
  <c r="J29" i="1"/>
  <c r="J551" i="1"/>
  <c r="J310" i="1"/>
  <c r="J531" i="1"/>
  <c r="J806" i="1"/>
  <c r="J864" i="1"/>
  <c r="J379" i="1"/>
  <c r="J970" i="1"/>
  <c r="J417" i="1"/>
  <c r="J661" i="1"/>
  <c r="J1632" i="1"/>
  <c r="J435" i="1"/>
  <c r="J465" i="1"/>
  <c r="J1001" i="1"/>
  <c r="J1742" i="1"/>
  <c r="J1590" i="1"/>
  <c r="J1061" i="1"/>
  <c r="J1557" i="1"/>
  <c r="J1181" i="1"/>
  <c r="J1535" i="1"/>
  <c r="J1235" i="1"/>
  <c r="J850" i="1"/>
  <c r="J892" i="1"/>
  <c r="J288" i="1"/>
  <c r="J1203" i="1"/>
  <c r="J1636" i="1"/>
  <c r="J82" i="1"/>
  <c r="J834" i="1"/>
  <c r="J99" i="1"/>
  <c r="J1262" i="1"/>
  <c r="J971" i="1"/>
  <c r="J469" i="1"/>
  <c r="J368" i="1"/>
  <c r="J1817" i="1"/>
  <c r="J780" i="1"/>
  <c r="J747" i="1"/>
  <c r="J754" i="1"/>
  <c r="J2000" i="1"/>
  <c r="J1709" i="1"/>
  <c r="J1661" i="1"/>
  <c r="J1099" i="1"/>
  <c r="J505" i="1"/>
  <c r="J59" i="1"/>
  <c r="J169" i="1"/>
  <c r="J699" i="1"/>
  <c r="J961" i="1"/>
  <c r="J1747" i="1"/>
  <c r="J1814" i="1"/>
  <c r="J394" i="1"/>
  <c r="J54" i="1"/>
  <c r="J744" i="1"/>
  <c r="J148" i="1"/>
  <c r="J1131" i="1"/>
  <c r="J1431" i="1"/>
  <c r="J998" i="1"/>
  <c r="J1005" i="1"/>
  <c r="J1184" i="1"/>
  <c r="J374" i="1"/>
  <c r="J1855" i="1"/>
  <c r="J344" i="1"/>
  <c r="J88" i="1"/>
  <c r="J933" i="1"/>
  <c r="J1927" i="1"/>
  <c r="J1981" i="1"/>
  <c r="J158" i="1"/>
  <c r="J1598" i="1"/>
  <c r="J623" i="1"/>
  <c r="J800" i="1"/>
  <c r="J1017" i="1"/>
  <c r="J1568" i="1"/>
  <c r="J1964" i="1"/>
  <c r="J483" i="1"/>
  <c r="J530" i="1"/>
  <c r="J500" i="1"/>
  <c r="J1647" i="1"/>
  <c r="J1215" i="1"/>
  <c r="J1074" i="1"/>
  <c r="J739" i="1"/>
  <c r="J724" i="1"/>
  <c r="J1252" i="1"/>
  <c r="J1676" i="1"/>
  <c r="J407" i="1"/>
  <c r="J1716" i="1"/>
  <c r="J1492" i="1"/>
  <c r="J451" i="1"/>
  <c r="J717" i="1"/>
  <c r="J589" i="1"/>
  <c r="J631" i="1"/>
  <c r="J1614" i="1"/>
  <c r="J120" i="1"/>
  <c r="J203" i="1"/>
  <c r="J1947" i="1"/>
  <c r="J1389" i="1"/>
  <c r="J755" i="1"/>
  <c r="J1446" i="1"/>
  <c r="J185" i="1"/>
  <c r="J392" i="1"/>
  <c r="J1270" i="1"/>
  <c r="J1329" i="1"/>
  <c r="J975" i="1"/>
  <c r="J709" i="1"/>
  <c r="J1997" i="1"/>
  <c r="J201" i="1"/>
  <c r="J1892" i="1"/>
  <c r="J1236" i="1"/>
  <c r="J1666" i="1"/>
  <c r="J1204" i="1"/>
  <c r="J866" i="1"/>
  <c r="J1149" i="1"/>
  <c r="J1472" i="1"/>
  <c r="J1463" i="1"/>
  <c r="J1102" i="1"/>
  <c r="J179" i="1"/>
  <c r="J1152" i="1"/>
  <c r="J1969" i="1"/>
  <c r="J524" i="1"/>
  <c r="J1021" i="1"/>
  <c r="J1405" i="1"/>
  <c r="J311" i="1"/>
  <c r="J615" i="1"/>
  <c r="J1723" i="1"/>
  <c r="J1617" i="1"/>
  <c r="J1736" i="1"/>
  <c r="J62" i="1"/>
  <c r="J509" i="1"/>
  <c r="J1580" i="1"/>
  <c r="J1185" i="1"/>
  <c r="J1956" i="1"/>
  <c r="J224" i="1"/>
  <c r="J653" i="1"/>
  <c r="J1886" i="1"/>
  <c r="J271" i="1"/>
  <c r="J249" i="1"/>
  <c r="J1007" i="1"/>
  <c r="J669" i="1"/>
  <c r="J1332" i="1"/>
  <c r="J162" i="1"/>
  <c r="J170" i="1"/>
  <c r="J825" i="1"/>
  <c r="J1046" i="1"/>
  <c r="J149" i="1"/>
  <c r="J1870" i="1"/>
  <c r="J321" i="1"/>
  <c r="J1713" i="1"/>
  <c r="J492" i="1"/>
  <c r="J655" i="1"/>
  <c r="J236" i="1"/>
  <c r="J1673" i="1"/>
  <c r="J145" i="1"/>
  <c r="J941" i="1"/>
  <c r="J751" i="1"/>
  <c r="J325" i="1"/>
  <c r="J1158" i="1"/>
  <c r="J1163" i="1"/>
  <c r="J771" i="1"/>
  <c r="J48" i="1"/>
  <c r="J628" i="1"/>
  <c r="J22" i="1"/>
  <c r="J902" i="1"/>
  <c r="J234" i="1"/>
  <c r="J1685" i="1"/>
  <c r="J1714" i="1"/>
  <c r="J1409" i="1"/>
  <c r="J1314" i="1"/>
  <c r="J1052" i="1"/>
  <c r="J1953" i="1"/>
  <c r="J1326" i="1"/>
  <c r="J437" i="1"/>
  <c r="J182" i="1"/>
  <c r="J1721" i="1"/>
  <c r="J657" i="1"/>
  <c r="J223" i="1"/>
  <c r="J343" i="1"/>
  <c r="J830" i="1"/>
  <c r="J1268" i="1"/>
  <c r="J756" i="1"/>
  <c r="J1554" i="1"/>
  <c r="J1538" i="1"/>
  <c r="J1607" i="1"/>
  <c r="J587" i="1"/>
  <c r="J880" i="1"/>
  <c r="J1450" i="1"/>
  <c r="J1111" i="1"/>
  <c r="J1498" i="1"/>
  <c r="J78" i="1"/>
  <c r="J1652" i="1"/>
  <c r="J302" i="1"/>
  <c r="J1238" i="1"/>
  <c r="J1365" i="1"/>
  <c r="J542" i="1"/>
  <c r="J1218" i="1"/>
  <c r="J743" i="1"/>
  <c r="J1600" i="1"/>
  <c r="J401" i="1"/>
  <c r="J402" i="1"/>
  <c r="J626" i="1"/>
  <c r="J666" i="1"/>
  <c r="J1551" i="1"/>
  <c r="J1999" i="1"/>
  <c r="J378" i="1"/>
  <c r="J468" i="1"/>
  <c r="J925" i="1"/>
  <c r="J1508" i="1"/>
  <c r="J1344" i="1"/>
  <c r="J1752" i="1"/>
  <c r="J1466" i="1"/>
  <c r="J1849" i="1"/>
  <c r="J557" i="1"/>
  <c r="J1093" i="1"/>
  <c r="J1454" i="1"/>
  <c r="J510" i="1"/>
  <c r="J546" i="1"/>
  <c r="J1517" i="1"/>
  <c r="J1724" i="1"/>
  <c r="J1157" i="1"/>
  <c r="J19" i="1"/>
  <c r="J1261" i="1"/>
  <c r="J1740" i="1"/>
  <c r="J1813" i="1"/>
  <c r="J187" i="1"/>
  <c r="J80" i="1"/>
  <c r="J1068" i="1"/>
  <c r="J1546" i="1"/>
  <c r="J361" i="1"/>
  <c r="J67" i="1"/>
  <c r="J1161" i="1"/>
  <c r="J1877" i="1"/>
  <c r="J153" i="1"/>
  <c r="J1053" i="1"/>
  <c r="J1379" i="1"/>
  <c r="J1811" i="1"/>
  <c r="J1103" i="1"/>
  <c r="J287" i="1"/>
  <c r="J1920" i="1"/>
  <c r="J1041" i="1"/>
  <c r="J1000" i="1"/>
  <c r="J789" i="1"/>
  <c r="J556" i="1"/>
  <c r="J1838" i="1"/>
  <c r="J281" i="1"/>
  <c r="J1926" i="1"/>
  <c r="J239" i="1"/>
  <c r="J1921" i="1"/>
  <c r="J324" i="1"/>
  <c r="J1978" i="1"/>
  <c r="J341" i="1"/>
  <c r="J870" i="1"/>
  <c r="J677" i="1"/>
  <c r="J1386" i="1"/>
  <c r="J1842" i="1"/>
  <c r="J1491" i="1"/>
  <c r="J1145" i="1"/>
  <c r="J1543" i="1"/>
  <c r="J730" i="1"/>
  <c r="J1315" i="1"/>
  <c r="J978" i="1"/>
  <c r="J17" i="1"/>
  <c r="J1116" i="1"/>
  <c r="J1295" i="1"/>
  <c r="J1798" i="1"/>
  <c r="J1500" i="1"/>
  <c r="J1561" i="1"/>
  <c r="J673" i="1"/>
  <c r="J1764" i="1"/>
  <c r="J642" i="1"/>
  <c r="J1032" i="1"/>
  <c r="J783" i="1"/>
  <c r="J1642" i="1"/>
  <c r="J1985" i="1"/>
  <c r="J1153" i="1"/>
  <c r="J1055" i="1"/>
  <c r="J84" i="1"/>
  <c r="J1172" i="1"/>
  <c r="J990" i="1"/>
  <c r="J854" i="1"/>
  <c r="J660" i="1"/>
  <c r="J439" i="1"/>
  <c r="J1056" i="1"/>
  <c r="J723" i="1"/>
  <c r="J580" i="1"/>
  <c r="J193" i="1"/>
  <c r="J765" i="1"/>
  <c r="J1199" i="1"/>
  <c r="J359" i="1"/>
  <c r="J916" i="1"/>
  <c r="J69" i="1"/>
  <c r="J1373" i="1"/>
  <c r="J519" i="1"/>
  <c r="J1856" i="1"/>
  <c r="J1625" i="1"/>
  <c r="J1912" i="1"/>
  <c r="J1234" i="1"/>
  <c r="J604" i="1"/>
  <c r="J907" i="1"/>
  <c r="J865" i="1"/>
  <c r="J1782" i="1"/>
  <c r="J1807" i="1"/>
  <c r="J245" i="1"/>
  <c r="J1699" i="1"/>
  <c r="J1330" i="1"/>
  <c r="J1668" i="1"/>
  <c r="J1793" i="1"/>
  <c r="J38" i="1"/>
  <c r="J1864" i="1"/>
  <c r="J1345" i="1"/>
  <c r="J1256" i="1"/>
  <c r="J1738" i="1"/>
  <c r="J298" i="1"/>
  <c r="J1439" i="1"/>
  <c r="J1504" i="1"/>
  <c r="J291" i="1"/>
  <c r="J1703" i="1"/>
  <c r="J14" i="1"/>
  <c r="J913" i="1"/>
  <c r="J1378" i="1"/>
  <c r="J883" i="1"/>
  <c r="J1260" i="1"/>
  <c r="J1015" i="1"/>
  <c r="J662" i="1"/>
  <c r="J1253" i="1"/>
  <c r="J442" i="1"/>
  <c r="J1027" i="1"/>
  <c r="J805" i="1"/>
  <c r="J1387" i="1"/>
  <c r="J1366" i="1"/>
  <c r="J1548" i="1"/>
  <c r="J131" i="1"/>
  <c r="J1448" i="1"/>
  <c r="J641" i="1"/>
  <c r="J1960" i="1"/>
  <c r="J1879" i="1"/>
  <c r="J570" i="1"/>
  <c r="J857" i="1"/>
  <c r="J759" i="1"/>
  <c r="J762" i="1"/>
  <c r="J277" i="1"/>
  <c r="J63" i="1"/>
  <c r="J180" i="1"/>
  <c r="J1835" i="1"/>
  <c r="J301" i="1"/>
  <c r="J319" i="1"/>
  <c r="J55" i="1"/>
  <c r="J1903" i="1"/>
  <c r="J196" i="1"/>
  <c r="J1744" i="1"/>
  <c r="J627" i="1"/>
  <c r="J1106" i="1"/>
  <c r="J889" i="1"/>
  <c r="J871" i="1"/>
  <c r="J286" i="1"/>
  <c r="J372" i="1"/>
  <c r="J853" i="1"/>
  <c r="J1421" i="1"/>
  <c r="J611" i="1"/>
  <c r="J1148" i="1"/>
  <c r="J1292" i="1"/>
  <c r="J486" i="1"/>
  <c r="J1424" i="1"/>
  <c r="J1837" i="1"/>
  <c r="J960" i="1"/>
  <c r="J1166" i="1"/>
  <c r="J1393" i="1"/>
  <c r="J3" i="1"/>
  <c r="J674" i="1"/>
  <c r="J23" i="1"/>
  <c r="J456" i="1"/>
  <c r="J1087" i="1"/>
  <c r="J110" i="1"/>
  <c r="J797" i="1"/>
  <c r="J707" i="1"/>
  <c r="J1880" i="1"/>
  <c r="J1026" i="1"/>
  <c r="J1786" i="1"/>
  <c r="J716" i="1"/>
  <c r="J1335" i="1"/>
  <c r="J31" i="1"/>
  <c r="J681" i="1"/>
  <c r="J1438" i="1"/>
  <c r="J760" i="1"/>
  <c r="J1812" i="1"/>
  <c r="J831" i="1"/>
  <c r="J882" i="1"/>
  <c r="J1749" i="1"/>
  <c r="J466" i="1"/>
  <c r="J972" i="1"/>
  <c r="J549" i="1"/>
  <c r="J1611" i="1"/>
  <c r="J393" i="1"/>
  <c r="J1239" i="1"/>
  <c r="J929" i="1"/>
  <c r="J458" i="1"/>
  <c r="J1094" i="1"/>
  <c r="J938" i="1"/>
  <c r="J1340" i="1"/>
  <c r="J767" i="1"/>
  <c r="J1929" i="1"/>
  <c r="J590" i="1"/>
  <c r="J58" i="1"/>
  <c r="J1494" i="1"/>
  <c r="J1334" i="1"/>
  <c r="J1815" i="1"/>
  <c r="J114" i="1"/>
  <c r="J1248" i="1"/>
  <c r="J788" i="1"/>
  <c r="J1829" i="1"/>
  <c r="J1542" i="1"/>
  <c r="J1589" i="1"/>
  <c r="J1552" i="1"/>
  <c r="J1560" i="1"/>
  <c r="J1088" i="1"/>
  <c r="J1975" i="1"/>
  <c r="J1265" i="1"/>
  <c r="J996" i="1"/>
  <c r="J280" i="1"/>
  <c r="J588" i="1"/>
  <c r="J1711" i="1"/>
  <c r="J1502" i="1"/>
  <c r="J1139" i="1"/>
  <c r="J679" i="1"/>
  <c r="J843" i="1"/>
  <c r="J1684" i="1"/>
  <c r="J919" i="1"/>
  <c r="J1089" i="1"/>
  <c r="J1346" i="1"/>
  <c r="J1696" i="1"/>
  <c r="J1290" i="1"/>
  <c r="J1229" i="1"/>
  <c r="J1917" i="1"/>
  <c r="J1610" i="1"/>
  <c r="J1357" i="1"/>
  <c r="J1267" i="1"/>
  <c r="J821" i="1"/>
  <c r="J561" i="1"/>
  <c r="J1577" i="1"/>
  <c r="J387" i="1"/>
  <c r="J1165" i="1"/>
  <c r="J421" i="1"/>
  <c r="J1283" i="1"/>
  <c r="J137" i="1"/>
  <c r="J327" i="1"/>
  <c r="J1581" i="1"/>
  <c r="J684" i="1"/>
  <c r="J803" i="1"/>
  <c r="J1301" i="1"/>
  <c r="J493" i="1"/>
  <c r="J1753" i="1"/>
  <c r="J799" i="1"/>
  <c r="J1615" i="1"/>
  <c r="J1275" i="1"/>
  <c r="J1281" i="1"/>
  <c r="J823" i="1"/>
  <c r="J1135" i="1"/>
  <c r="J1651" i="1"/>
  <c r="J1824" i="1"/>
  <c r="J840" i="1"/>
  <c r="J749" i="1"/>
  <c r="J1121" i="1"/>
  <c r="J606" i="1"/>
  <c r="J918" i="1"/>
  <c r="J1401" i="1"/>
  <c r="J568" i="1"/>
  <c r="J1432" i="1"/>
  <c r="J1916" i="1"/>
  <c r="J1585" i="1"/>
  <c r="J1707" i="1"/>
  <c r="J1337" i="1"/>
  <c r="J430" i="1"/>
  <c r="J957" i="1"/>
  <c r="J543" i="1"/>
  <c r="J1392" i="1"/>
  <c r="J1169" i="1"/>
  <c r="J1878" i="1"/>
  <c r="J1907" i="1"/>
  <c r="J875" i="1"/>
  <c r="J403" i="1"/>
  <c r="J1924" i="1"/>
  <c r="J1250" i="1"/>
  <c r="J166" i="1"/>
  <c r="J750" i="1"/>
  <c r="J818" i="1"/>
  <c r="J1411" i="1"/>
  <c r="J1144" i="1"/>
  <c r="J202" i="1"/>
  <c r="J41" i="1"/>
  <c r="J1875" i="1"/>
  <c r="J1966" i="1"/>
  <c r="J1928" i="1"/>
  <c r="J693" i="1"/>
  <c r="J45" i="1"/>
  <c r="J689" i="1"/>
  <c r="J691" i="1"/>
  <c r="J798" i="1"/>
  <c r="J1310" i="1"/>
  <c r="J1727" i="1"/>
  <c r="J1534" i="1"/>
  <c r="J390" i="1"/>
  <c r="J204" i="1"/>
  <c r="J1364" i="1"/>
  <c r="J254" i="1"/>
  <c r="J1095" i="1"/>
  <c r="J1395" i="1"/>
  <c r="J457" i="1"/>
  <c r="J559" i="1"/>
  <c r="J1725" i="1"/>
  <c r="J1083" i="1"/>
  <c r="J1354" i="1"/>
  <c r="J1914" i="1"/>
  <c r="J1913" i="1"/>
  <c r="J1643" i="1"/>
  <c r="J1469" i="1"/>
  <c r="J1972" i="1"/>
  <c r="J70" i="1"/>
  <c r="J1231" i="1"/>
  <c r="J1128" i="1"/>
  <c r="J1803" i="1"/>
  <c r="J1222" i="1"/>
  <c r="J1748" i="1"/>
  <c r="J296" i="1"/>
  <c r="J419" i="1"/>
  <c r="J1648" i="1"/>
  <c r="J1219" i="1"/>
  <c r="J1959" i="1"/>
  <c r="J939" i="1"/>
  <c r="J256" i="1"/>
  <c r="J60" i="1"/>
  <c r="J1304" i="1"/>
  <c r="J758" i="1"/>
  <c r="J1906" i="1"/>
  <c r="J1457" i="1"/>
  <c r="J1888" i="1"/>
  <c r="J1833" i="1"/>
  <c r="J384" i="1"/>
  <c r="J1333" i="1"/>
  <c r="J446" i="1"/>
  <c r="J1067" i="1"/>
  <c r="J558" i="1"/>
  <c r="J219" i="1"/>
  <c r="J534" i="1"/>
  <c r="J1541" i="1"/>
  <c r="J1459" i="1"/>
  <c r="J832" i="1"/>
  <c r="J955" i="1"/>
  <c r="J1693" i="1"/>
  <c r="J1282" i="1"/>
  <c r="J745" i="1"/>
  <c r="J648" i="1"/>
  <c r="J863" i="1"/>
  <c r="J1091" i="1"/>
  <c r="J1473" i="1"/>
  <c r="J667" i="1"/>
  <c r="J1313" i="1"/>
  <c r="J305" i="1"/>
  <c r="J1831" i="1"/>
  <c r="J1060" i="1"/>
  <c r="J250" i="1"/>
  <c r="J155" i="1"/>
  <c r="J1205" i="1"/>
  <c r="J1377" i="1"/>
  <c r="J584" i="1"/>
  <c r="J1050" i="1"/>
  <c r="J348" i="1"/>
  <c r="J1700" i="1"/>
  <c r="J807" i="1"/>
  <c r="J460" i="1"/>
  <c r="J1863" i="1"/>
  <c r="J1758" i="1"/>
  <c r="J1951" i="1"/>
  <c r="J784" i="1"/>
  <c r="J1936" i="1"/>
  <c r="J1263" i="1"/>
  <c r="J753" i="1"/>
  <c r="J715" i="1"/>
  <c r="J858" i="1"/>
  <c r="J621" i="1"/>
  <c r="J92" i="1"/>
  <c r="J1930" i="1"/>
  <c r="J151" i="1"/>
  <c r="J1480" i="1"/>
  <c r="J1555" i="1"/>
  <c r="J46" i="1"/>
  <c r="J1790" i="1"/>
  <c r="J1320" i="1"/>
  <c r="J529" i="1"/>
  <c r="J1881" i="1"/>
  <c r="J253" i="1"/>
  <c r="J625" i="1"/>
  <c r="J1735" i="1"/>
  <c r="J205" i="1"/>
  <c r="J1311" i="1"/>
  <c r="J1108" i="1"/>
  <c r="J958" i="1"/>
  <c r="J1612" i="1"/>
  <c r="J775" i="1"/>
  <c r="J33" i="1"/>
  <c r="J645" i="1"/>
  <c r="J1848" i="1"/>
  <c r="J1630" i="1"/>
  <c r="J718" i="1"/>
  <c r="J746" i="1"/>
  <c r="J266" i="1"/>
  <c r="J116" i="1"/>
  <c r="J488" i="1"/>
  <c r="J1565" i="1"/>
  <c r="J1160" i="1"/>
  <c r="J1309" i="1"/>
  <c r="J199" i="1"/>
  <c r="J30" i="1"/>
  <c r="J1370" i="1"/>
  <c r="J93" i="1"/>
  <c r="J1733" i="1"/>
  <c r="J597" i="1"/>
  <c r="J965" i="1"/>
  <c r="J476" i="1"/>
  <c r="J769" i="1"/>
  <c r="J356" i="1"/>
  <c r="J1949" i="1"/>
  <c r="J1312" i="1"/>
  <c r="J1483" i="1"/>
  <c r="J1210" i="1"/>
  <c r="J966" i="1"/>
  <c r="J1343" i="1"/>
  <c r="J1035" i="1"/>
  <c r="J999" i="1"/>
  <c r="J135" i="1"/>
  <c r="J1049" i="1"/>
  <c r="J706" i="1"/>
  <c r="J1391" i="1"/>
  <c r="J1011" i="1"/>
  <c r="J371" i="1"/>
  <c r="J915" i="1"/>
  <c r="J1770" i="1"/>
  <c r="J1359" i="1"/>
  <c r="J1012" i="1"/>
  <c r="J217" i="1"/>
  <c r="J1583" i="1"/>
  <c r="J163" i="1"/>
  <c r="J1998" i="1"/>
  <c r="J1915" i="1"/>
  <c r="J550" i="1"/>
  <c r="J949" i="1"/>
  <c r="J269" i="1"/>
  <c r="J905" i="1"/>
  <c r="J1516" i="1"/>
  <c r="J640" i="1"/>
  <c r="J1243" i="1"/>
  <c r="J1013" i="1"/>
  <c r="J1644" i="1"/>
  <c r="J658" i="1"/>
  <c r="J1941" i="1"/>
  <c r="J1174" i="1"/>
  <c r="J1477" i="1"/>
  <c r="J1397" i="1"/>
  <c r="J987" i="1"/>
  <c r="J733" i="1"/>
  <c r="J535" i="1"/>
  <c r="J220" i="1"/>
  <c r="J886" i="1"/>
  <c r="J1791" i="1"/>
  <c r="J1456" i="1"/>
  <c r="J1799" i="1"/>
  <c r="J152" i="1"/>
  <c r="J682" i="1"/>
  <c r="J1702" i="1"/>
  <c r="J981" i="1"/>
  <c r="J1639" i="1"/>
  <c r="J463" i="1"/>
  <c r="J1404" i="1"/>
  <c r="J1123" i="1"/>
  <c r="J251" i="1"/>
  <c r="J1876" i="1"/>
  <c r="J429" i="1"/>
  <c r="J1899" i="1"/>
  <c r="J244" i="1"/>
  <c r="J1296" i="1"/>
  <c r="J109" i="1"/>
  <c r="J1410" i="1"/>
  <c r="J851" i="1"/>
  <c r="J1579" i="1"/>
  <c r="J826" i="1"/>
  <c r="J555" i="1"/>
  <c r="J1558" i="1"/>
  <c r="J908" i="1"/>
  <c r="J1822" i="1"/>
  <c r="J720" i="1"/>
  <c r="J1788" i="1"/>
  <c r="J313" i="1"/>
  <c r="J1162" i="1"/>
  <c r="J171" i="1"/>
  <c r="J1388" i="1"/>
  <c r="J285" i="1"/>
  <c r="J1104" i="1"/>
  <c r="J1965" i="1"/>
  <c r="J795" i="1"/>
  <c r="J1507" i="1"/>
  <c r="J73" i="1"/>
  <c r="J1995" i="1"/>
  <c r="J90" i="1"/>
  <c r="J440" i="1"/>
  <c r="J1371" i="1"/>
  <c r="J1376" i="1"/>
  <c r="J1375" i="1"/>
  <c r="J411" i="1"/>
  <c r="J12" i="1"/>
  <c r="J47" i="1"/>
  <c r="J1241" i="1"/>
  <c r="J930" i="1"/>
  <c r="J1493" i="1"/>
  <c r="J532" i="1"/>
  <c r="J1539" i="1"/>
  <c r="J207" i="1"/>
  <c r="J210" i="1"/>
  <c r="J1645" i="1"/>
  <c r="J1445" i="1"/>
  <c r="J1760" i="1"/>
  <c r="J1132" i="1"/>
  <c r="J1608" i="1"/>
  <c r="J781" i="1"/>
  <c r="J422" i="1"/>
  <c r="J174" i="1"/>
  <c r="J1412" i="1"/>
  <c r="J1396" i="1"/>
  <c r="J1511" i="1"/>
  <c r="J1692" i="1"/>
  <c r="J773" i="1"/>
  <c r="J520" i="1"/>
  <c r="J1062" i="1"/>
  <c r="J1587" i="1"/>
  <c r="J1618" i="1"/>
  <c r="J1942" i="1"/>
  <c r="J899" i="1"/>
  <c r="J685" i="1"/>
  <c r="J39" i="1"/>
  <c r="J121" i="1"/>
  <c r="J1138" i="1"/>
  <c r="J536" i="1"/>
  <c r="J35" i="1"/>
  <c r="J68" i="1"/>
  <c r="J1470" i="1"/>
  <c r="J525" i="1"/>
  <c r="J764" i="1"/>
  <c r="J968" i="1"/>
  <c r="J644" i="1"/>
  <c r="J380" i="1"/>
  <c r="J594" i="1"/>
  <c r="J837" i="1"/>
  <c r="J1688" i="1"/>
  <c r="J1129" i="1"/>
  <c r="J1352" i="1"/>
  <c r="J702" i="1"/>
  <c r="J1586" i="1"/>
  <c r="J478" i="1"/>
  <c r="J1776" i="1"/>
  <c r="J197" i="1"/>
  <c r="J1420" i="1"/>
  <c r="J848" i="1"/>
  <c r="J928" i="1"/>
  <c r="J523" i="1"/>
  <c r="J20" i="1"/>
  <c r="J1677" i="1"/>
  <c r="J772" i="1"/>
  <c r="J1321" i="1"/>
  <c r="J528" i="1"/>
  <c r="J190" i="1"/>
  <c r="J1065" i="1"/>
  <c r="J1669" i="1"/>
  <c r="J822" i="1"/>
  <c r="J504" i="1"/>
  <c r="J1601" i="1"/>
  <c r="J1433" i="1"/>
  <c r="J2001" i="1"/>
  <c r="J369" i="1"/>
  <c r="J1635" i="1"/>
  <c r="J418" i="1"/>
  <c r="J989" i="1"/>
  <c r="J1441" i="1"/>
  <c r="J652" i="1"/>
  <c r="J1506" i="1"/>
  <c r="J1800" i="1"/>
  <c r="J1574" i="1"/>
  <c r="J364" i="1"/>
  <c r="J1232" i="1"/>
  <c r="J1631" i="1"/>
  <c r="J893" i="1"/>
  <c r="J1444" i="1"/>
  <c r="J222" i="1"/>
  <c r="J1339" i="1"/>
  <c r="J1687" i="1"/>
  <c r="J95" i="1"/>
  <c r="J1852" i="1"/>
  <c r="J76" i="1"/>
  <c r="J1991" i="1"/>
  <c r="J962" i="1"/>
  <c r="J1655" i="1"/>
  <c r="J819" i="1"/>
  <c r="J1299" i="1"/>
  <c r="J617" i="1"/>
  <c r="J1529" i="1"/>
  <c r="J686" i="1"/>
  <c r="J1368" i="1"/>
  <c r="J855" i="1"/>
  <c r="J1195" i="1"/>
  <c r="J362" i="1"/>
  <c r="J1072" i="1"/>
  <c r="J599" i="1"/>
  <c r="J1040" i="1"/>
  <c r="J1783" i="1"/>
  <c r="J1190" i="1"/>
  <c r="J778" i="1"/>
  <c r="J44" i="1"/>
  <c r="J363" i="1"/>
  <c r="J330" i="1"/>
  <c r="J1220" i="1"/>
  <c r="J275" i="1"/>
  <c r="J852" i="1"/>
  <c r="J133" i="1"/>
  <c r="J1482" i="1"/>
  <c r="J501" i="1"/>
  <c r="J1019" i="1"/>
  <c r="J1866" i="1"/>
  <c r="J283" i="1"/>
  <c r="J335" i="1"/>
  <c r="J156" i="1"/>
  <c r="J844" i="1"/>
  <c r="J226" i="1"/>
  <c r="J1861" i="1"/>
  <c r="J577" i="1"/>
  <c r="J333" i="1"/>
  <c r="J373" i="1"/>
  <c r="J678" i="1"/>
  <c r="J816" i="1"/>
  <c r="J385" i="1"/>
  <c r="J56" i="1"/>
  <c r="J1133" i="1"/>
  <c r="J87" i="1"/>
  <c r="J1992" i="1"/>
  <c r="J1593" i="1"/>
  <c r="J1772" i="1"/>
  <c r="J1682" i="1"/>
  <c r="J911" i="1"/>
  <c r="J593" i="1"/>
  <c r="J1767" i="1"/>
  <c r="J444" i="1"/>
  <c r="J1221" i="1"/>
  <c r="J1224" i="1"/>
  <c r="J651" i="1"/>
  <c r="J1567" i="1"/>
  <c r="J690" i="1"/>
  <c r="J209" i="1"/>
  <c r="J1039" i="1"/>
  <c r="J1435" i="1"/>
  <c r="J472" i="1"/>
  <c r="J227" i="1"/>
  <c r="J894" i="1"/>
  <c r="J735" i="1"/>
  <c r="J1751" i="1"/>
  <c r="J665" i="1"/>
  <c r="J1653" i="1"/>
  <c r="J306" i="1"/>
  <c r="J1605" i="1"/>
  <c r="J579" i="1"/>
  <c r="J65" i="1"/>
  <c r="J1115" i="1"/>
  <c r="J1908" i="1"/>
  <c r="J1124" i="1"/>
  <c r="J982" i="1"/>
  <c r="J358" i="1"/>
  <c r="J252" i="1"/>
  <c r="J1925" i="1"/>
  <c r="J1024" i="1"/>
  <c r="J132" i="1"/>
  <c r="J1982" i="1"/>
  <c r="J118" i="1"/>
  <c r="J1777" i="1"/>
  <c r="J1430" i="1"/>
  <c r="J629" i="1"/>
  <c r="J1989" i="1"/>
  <c r="J1328" i="1"/>
  <c r="J26" i="1"/>
  <c r="J1671" i="1"/>
  <c r="J650" i="1"/>
  <c r="J1484" i="1"/>
  <c r="J1746" i="1"/>
  <c r="J976" i="1"/>
  <c r="J386" i="1"/>
  <c r="J328" i="1"/>
  <c r="J424" i="1"/>
  <c r="J218" i="1"/>
  <c r="J1987" i="1"/>
  <c r="J1097" i="1"/>
  <c r="J1784" i="1"/>
  <c r="J1186" i="1"/>
  <c r="J635" i="1"/>
  <c r="J208" i="1"/>
  <c r="J752" i="1"/>
  <c r="J782" i="1"/>
  <c r="J167" i="1"/>
  <c r="I1521" i="1"/>
  <c r="I1705" i="1"/>
  <c r="I322" i="1"/>
  <c r="I1604" i="1"/>
  <c r="I1088" i="1"/>
  <c r="I45" i="1"/>
  <c r="I397" i="1"/>
  <c r="I382" i="1"/>
  <c r="I1010" i="1"/>
  <c r="I1406" i="1"/>
  <c r="I561" i="1"/>
  <c r="I1174" i="1"/>
  <c r="I1438" i="1"/>
  <c r="I1122" i="1"/>
  <c r="I1248" i="1"/>
  <c r="I799" i="1"/>
  <c r="I108" i="1"/>
  <c r="I1947" i="1"/>
  <c r="I1236" i="1"/>
  <c r="I1674" i="1"/>
  <c r="I1851" i="1"/>
  <c r="I1000" i="1"/>
  <c r="I1527" i="1"/>
  <c r="I216" i="1"/>
  <c r="I1695" i="1"/>
  <c r="I701" i="1"/>
  <c r="I904" i="1"/>
  <c r="I548" i="1"/>
  <c r="I788" i="1"/>
  <c r="I297" i="1"/>
  <c r="I878" i="1"/>
  <c r="I880" i="1"/>
  <c r="I901" i="1"/>
  <c r="I1115" i="1"/>
  <c r="I343" i="1"/>
  <c r="I1167" i="1"/>
  <c r="I1867" i="1"/>
  <c r="I1577" i="1"/>
  <c r="I1048" i="1"/>
  <c r="I867" i="1"/>
  <c r="I1073" i="1"/>
  <c r="I265" i="1"/>
  <c r="I1759" i="1"/>
  <c r="I1234" i="1"/>
  <c r="I1572" i="1"/>
  <c r="I1964" i="1"/>
  <c r="I1564" i="1"/>
  <c r="I612" i="1"/>
  <c r="I697" i="1"/>
  <c r="I1460" i="1"/>
  <c r="I492" i="1"/>
  <c r="I1722" i="1"/>
  <c r="I412" i="1"/>
  <c r="I1826" i="1"/>
  <c r="I859" i="1"/>
  <c r="I933" i="1"/>
  <c r="I170" i="1"/>
  <c r="I1488" i="1"/>
  <c r="I645" i="1"/>
  <c r="I30" i="1"/>
  <c r="I44" i="1"/>
  <c r="I174" i="1"/>
  <c r="I1090" i="1"/>
  <c r="I969" i="1"/>
  <c r="I955" i="1"/>
  <c r="I318" i="1"/>
  <c r="I1412" i="1"/>
  <c r="I258" i="1"/>
  <c r="I252" i="1"/>
  <c r="I1691" i="1"/>
  <c r="I1755" i="1"/>
  <c r="I113" i="1"/>
  <c r="I1679" i="1"/>
  <c r="I1546" i="1"/>
  <c r="I469" i="1"/>
  <c r="I1559" i="1"/>
  <c r="I250" i="1"/>
  <c r="I350" i="1"/>
  <c r="I577" i="1"/>
  <c r="I574" i="1"/>
  <c r="I23" i="1"/>
  <c r="I539" i="1"/>
  <c r="I511" i="1"/>
  <c r="I758" i="1"/>
  <c r="I1512" i="1"/>
  <c r="I1498" i="1"/>
  <c r="I385" i="1"/>
  <c r="I1305" i="1"/>
  <c r="I1606" i="1"/>
  <c r="I1953" i="1"/>
  <c r="I1932" i="1"/>
  <c r="I1802" i="1"/>
  <c r="I1902" i="1"/>
  <c r="I1209" i="1"/>
  <c r="I666" i="1"/>
  <c r="I1367" i="1"/>
  <c r="I1797" i="1"/>
  <c r="I1632" i="1"/>
  <c r="I1447" i="1"/>
  <c r="I1076" i="1"/>
  <c r="I185" i="1"/>
  <c r="I1822" i="1"/>
  <c r="I237" i="1"/>
  <c r="I1324" i="1"/>
  <c r="I16" i="1"/>
  <c r="I1290" i="1"/>
  <c r="I1890" i="1"/>
  <c r="I830" i="1"/>
  <c r="I977" i="1"/>
  <c r="I1138" i="1"/>
  <c r="I741" i="1"/>
  <c r="I1665" i="1"/>
  <c r="I122" i="1"/>
  <c r="I1798" i="1"/>
  <c r="I83" i="1"/>
  <c r="I1277" i="1"/>
  <c r="I301" i="1"/>
  <c r="I953" i="1"/>
  <c r="I909" i="1"/>
  <c r="I1845" i="1"/>
  <c r="I972" i="1"/>
  <c r="I699" i="1"/>
  <c r="I695" i="1"/>
  <c r="I1618" i="1"/>
  <c r="I354" i="1"/>
  <c r="I762" i="1"/>
  <c r="I1323" i="1"/>
  <c r="I232" i="1"/>
  <c r="I441" i="1"/>
  <c r="I536" i="1"/>
  <c r="I1838" i="1"/>
  <c r="I1370" i="1"/>
  <c r="I1398" i="1"/>
  <c r="I1232" i="1"/>
  <c r="I1481" i="1"/>
  <c r="I855" i="1"/>
  <c r="I1043" i="1"/>
  <c r="I48" i="1"/>
  <c r="I1544" i="1"/>
  <c r="I1669" i="1"/>
  <c r="I562" i="1"/>
  <c r="I155" i="1"/>
  <c r="I1666" i="1"/>
  <c r="I62" i="1"/>
  <c r="I1942" i="1"/>
  <c r="I1543" i="1"/>
  <c r="I1507" i="1"/>
  <c r="I1389" i="1"/>
  <c r="I247" i="1"/>
  <c r="I889" i="1"/>
  <c r="I79" i="1"/>
  <c r="I1100" i="1"/>
  <c r="I1615" i="1"/>
  <c r="I459" i="1"/>
  <c r="I1139" i="1"/>
  <c r="I1841" i="1"/>
  <c r="I641" i="1"/>
  <c r="I1500" i="1"/>
  <c r="I1796" i="1"/>
  <c r="I1563" i="1"/>
  <c r="I1204" i="1"/>
  <c r="I1354" i="1"/>
  <c r="I1709" i="1"/>
  <c r="I1795" i="1"/>
  <c r="I1634" i="1"/>
  <c r="I333" i="1"/>
  <c r="I1962" i="1"/>
  <c r="I129" i="1"/>
  <c r="I856" i="1"/>
  <c r="I967" i="1"/>
  <c r="I1478" i="1"/>
  <c r="I1693" i="1"/>
  <c r="I112" i="1"/>
  <c r="I720" i="1"/>
  <c r="I1056" i="1"/>
  <c r="I1268" i="1"/>
  <c r="I721" i="1"/>
  <c r="I116" i="1"/>
  <c r="I557" i="1"/>
  <c r="I1086" i="1"/>
  <c r="I1641" i="1"/>
  <c r="I1364" i="1"/>
  <c r="I947" i="1"/>
  <c r="I858" i="1"/>
  <c r="I1620" i="1"/>
  <c r="I1777" i="1"/>
  <c r="I1670" i="1"/>
  <c r="I1984" i="1"/>
  <c r="I1595" i="1"/>
  <c r="I73" i="1"/>
  <c r="I363" i="1"/>
  <c r="I1012" i="1"/>
  <c r="I1530" i="1"/>
  <c r="I750" i="1"/>
  <c r="I1904" i="1"/>
  <c r="I1316" i="1"/>
  <c r="I1187" i="1"/>
  <c r="I1195" i="1"/>
  <c r="I1326" i="1"/>
  <c r="I914" i="1"/>
  <c r="I470" i="1"/>
  <c r="I1970" i="1"/>
  <c r="I1172" i="1"/>
  <c r="I1907" i="1"/>
  <c r="I484" i="1"/>
  <c r="I753" i="1"/>
  <c r="I1487" i="1"/>
  <c r="I463" i="1"/>
  <c r="I77" i="1"/>
  <c r="I152" i="1"/>
  <c r="I1472" i="1"/>
  <c r="I387" i="1"/>
  <c r="I533" i="1"/>
  <c r="I1360" i="1"/>
  <c r="I1203" i="1"/>
  <c r="I34" i="1"/>
  <c r="I1036" i="1"/>
  <c r="I863" i="1"/>
  <c r="I604" i="1"/>
  <c r="I193" i="1"/>
  <c r="I707" i="1"/>
  <c r="I1774" i="1"/>
  <c r="I1561" i="1"/>
  <c r="I984" i="1"/>
  <c r="I1540" i="1"/>
  <c r="I1806" i="1"/>
  <c r="I449" i="1"/>
  <c r="I269" i="1"/>
  <c r="I217" i="1"/>
  <c r="I488" i="1"/>
  <c r="I672" i="1"/>
  <c r="I1636" i="1"/>
  <c r="I1832" i="1"/>
  <c r="I899" i="1"/>
  <c r="I230" i="1"/>
  <c r="I1191" i="1"/>
  <c r="I370" i="1"/>
  <c r="I419" i="1"/>
  <c r="I543" i="1"/>
  <c r="I993" i="1"/>
  <c r="I446" i="1"/>
  <c r="I1207" i="1"/>
  <c r="I458" i="1"/>
  <c r="I351" i="1"/>
  <c r="I159" i="1"/>
  <c r="I1063" i="1"/>
  <c r="I1863" i="1"/>
  <c r="I1805" i="1"/>
  <c r="I682" i="1"/>
  <c r="I21" i="1"/>
  <c r="I9" i="1"/>
  <c r="I254" i="1"/>
  <c r="I1583" i="1"/>
  <c r="I628" i="1"/>
  <c r="I1967" i="1"/>
  <c r="I897" i="1"/>
  <c r="I644" i="1"/>
  <c r="I1960" i="1"/>
  <c r="I1152" i="1"/>
  <c r="I545" i="1"/>
  <c r="I639" i="1"/>
  <c r="I273" i="1"/>
  <c r="I1597" i="1"/>
  <c r="I673" i="1"/>
  <c r="I1829" i="1"/>
  <c r="I1775" i="1"/>
  <c r="I1662" i="1"/>
  <c r="I14" i="1"/>
  <c r="I1622" i="1"/>
  <c r="I509" i="1"/>
  <c r="I1816" i="1"/>
  <c r="I1833" i="1"/>
  <c r="I1325" i="1"/>
  <c r="I1385" i="1"/>
  <c r="I7" i="1"/>
  <c r="I1624" i="1"/>
  <c r="I1976" i="1"/>
  <c r="I271" i="1"/>
  <c r="I1175" i="1"/>
  <c r="I1925" i="1"/>
  <c r="I1229" i="1"/>
  <c r="I56" i="1"/>
  <c r="I367" i="1"/>
  <c r="I1650" i="1"/>
  <c r="I603" i="1"/>
  <c r="I359" i="1"/>
  <c r="I392" i="1"/>
  <c r="I540" i="1"/>
  <c r="I1276" i="1"/>
  <c r="I1648" i="1"/>
  <c r="I1338" i="1"/>
  <c r="I596" i="1"/>
  <c r="I212" i="1"/>
  <c r="I735" i="1"/>
  <c r="I1628" i="1"/>
  <c r="I1969" i="1"/>
  <c r="I189" i="1"/>
  <c r="I668" i="1"/>
  <c r="I1580" i="1"/>
  <c r="I1015" i="1"/>
  <c r="I825" i="1"/>
  <c r="I331" i="1"/>
  <c r="I1751" i="1"/>
  <c r="I986" i="1"/>
  <c r="I1216" i="1"/>
  <c r="I643" i="1"/>
  <c r="I1486" i="1"/>
  <c r="I198" i="1"/>
  <c r="I553" i="1"/>
  <c r="I1192" i="1"/>
  <c r="I1414" i="1"/>
  <c r="I43" i="1"/>
  <c r="I437" i="1"/>
  <c r="I1531" i="1"/>
  <c r="I1424" i="1"/>
  <c r="I1675" i="1"/>
  <c r="I652" i="1"/>
  <c r="I508" i="1"/>
  <c r="I418" i="1"/>
  <c r="I384" i="1"/>
  <c r="I281" i="1"/>
  <c r="I1154" i="1"/>
  <c r="I338" i="1"/>
  <c r="I401" i="1"/>
  <c r="I954" i="1"/>
  <c r="I1657" i="1"/>
  <c r="I307" i="1"/>
  <c r="I549" i="1"/>
  <c r="I962" i="1"/>
  <c r="I790" i="1"/>
  <c r="I1567" i="1"/>
  <c r="I737" i="1"/>
  <c r="I1788" i="1"/>
  <c r="I760" i="1"/>
  <c r="I876" i="1"/>
  <c r="I1217" i="1"/>
  <c r="I249" i="1"/>
  <c r="I766" i="1"/>
  <c r="I822" i="1"/>
  <c r="I1820" i="1"/>
  <c r="I1685" i="1"/>
  <c r="I1995" i="1"/>
  <c r="I278" i="1"/>
  <c r="I1894" i="1"/>
  <c r="I1752" i="1"/>
  <c r="I1768" i="1"/>
  <c r="I409" i="1"/>
  <c r="I1210" i="1"/>
  <c r="I524" i="1"/>
  <c r="I383" i="1"/>
  <c r="I1656" i="1"/>
  <c r="I997" i="1"/>
  <c r="I1702" i="1"/>
  <c r="I427" i="1"/>
  <c r="I818" i="1"/>
  <c r="I1352" i="1"/>
  <c r="I706" i="1"/>
  <c r="I529" i="1"/>
  <c r="I1611" i="1"/>
  <c r="I1105" i="1"/>
  <c r="I1719" i="1"/>
  <c r="I172" i="1"/>
  <c r="I907" i="1"/>
  <c r="I1082" i="1"/>
  <c r="I659" i="1"/>
  <c r="I1165" i="1"/>
  <c r="I182" i="1"/>
  <c r="I501" i="1"/>
  <c r="I1946" i="1"/>
  <c r="I827" i="1"/>
  <c r="I679" i="1"/>
  <c r="I1252" i="1"/>
  <c r="I413" i="1"/>
  <c r="I1926" i="1"/>
  <c r="I110" i="1"/>
  <c r="I715" i="1"/>
  <c r="I1296" i="1"/>
  <c r="I725" i="1"/>
  <c r="I684" i="1"/>
  <c r="I434" i="1"/>
  <c r="I1081" i="1"/>
  <c r="I109" i="1"/>
  <c r="I1917" i="1"/>
  <c r="I1078" i="1"/>
  <c r="I1968" i="1"/>
  <c r="I1764" i="1"/>
  <c r="I233" i="1"/>
  <c r="I1714" i="1"/>
  <c r="I164" i="1"/>
  <c r="I1843" i="1"/>
  <c r="I369" i="1"/>
  <c r="I1810" i="1"/>
  <c r="I1245" i="1"/>
  <c r="I1194" i="1"/>
  <c r="I1573" i="1"/>
  <c r="I1501" i="1"/>
  <c r="I393" i="1"/>
  <c r="I981" i="1"/>
  <c r="I1219" i="1"/>
  <c r="I1170" i="1"/>
  <c r="I731" i="1"/>
  <c r="I1776" i="1"/>
  <c r="I1658" i="1"/>
  <c r="I1635" i="1"/>
  <c r="I138" i="1"/>
  <c r="I1631" i="1"/>
  <c r="I316" i="1"/>
  <c r="I1046" i="1"/>
  <c r="I1598" i="1"/>
  <c r="I184" i="1"/>
  <c r="I1184" i="1"/>
  <c r="I1114" i="1"/>
  <c r="I1985" i="1"/>
  <c r="I1405" i="1"/>
  <c r="I386" i="1"/>
  <c r="I35" i="1"/>
  <c r="I756" i="1"/>
  <c r="I1545" i="1"/>
  <c r="I90" i="1"/>
  <c r="I1002" i="1"/>
  <c r="I374" i="1"/>
  <c r="I1758" i="1"/>
  <c r="I714" i="1"/>
  <c r="I2" i="1"/>
  <c r="I1311" i="1"/>
  <c r="I1230" i="1"/>
  <c r="I865" i="1"/>
  <c r="I86" i="1"/>
  <c r="I576" i="1"/>
  <c r="I621" i="1"/>
  <c r="I527" i="1"/>
  <c r="I1951" i="1"/>
  <c r="I1848" i="1"/>
  <c r="I1927" i="1"/>
  <c r="I1661" i="1"/>
  <c r="I1645" i="1"/>
  <c r="I483" i="1"/>
  <c r="I1803" i="1"/>
  <c r="I1975" i="1"/>
  <c r="I440" i="1"/>
  <c r="I1990" i="1"/>
  <c r="I1066" i="1"/>
  <c r="I888" i="1"/>
  <c r="I1099" i="1"/>
  <c r="I1067" i="1"/>
  <c r="I1189" i="1"/>
  <c r="I239" i="1"/>
  <c r="I789" i="1"/>
  <c r="I611" i="1"/>
  <c r="I313" i="1"/>
  <c r="I890" i="1"/>
  <c r="I368" i="1"/>
  <c r="I1945" i="1"/>
  <c r="I1108" i="1"/>
  <c r="I836" i="1"/>
  <c r="I945" i="1"/>
  <c r="I506" i="1"/>
  <c r="I990" i="1"/>
  <c r="I665" i="1"/>
  <c r="I1596" i="1"/>
  <c r="I1637" i="1"/>
  <c r="I1837" i="1"/>
  <c r="I93" i="1"/>
  <c r="I1410" i="1"/>
  <c r="I791" i="1"/>
  <c r="I1177" i="1"/>
  <c r="I1468" i="1"/>
  <c r="I1009" i="1"/>
  <c r="I1676" i="1"/>
  <c r="I1409" i="1"/>
  <c r="I1827" i="1"/>
  <c r="I1919" i="1"/>
  <c r="I1019" i="1"/>
  <c r="I1769" i="1"/>
  <c r="I504" i="1"/>
  <c r="I1300" i="1"/>
  <c r="I1879" i="1"/>
  <c r="I970" i="1"/>
  <c r="I1772" i="1"/>
  <c r="I1639" i="1"/>
  <c r="I1103" i="1"/>
  <c r="I361" i="1"/>
  <c r="I1943" i="1"/>
  <c r="I635" i="1"/>
  <c r="I1828" i="1"/>
  <c r="I150" i="1"/>
  <c r="I1310" i="1"/>
  <c r="I1445" i="1"/>
  <c r="I104" i="1"/>
  <c r="I664" i="1"/>
  <c r="I186" i="1"/>
  <c r="I1610" i="1"/>
  <c r="I1493" i="1"/>
  <c r="I742" i="1"/>
  <c r="I336" i="1"/>
  <c r="I262" i="1"/>
  <c r="I843" i="1"/>
  <c r="I1254" i="1"/>
  <c r="I662" i="1"/>
  <c r="I622" i="1"/>
  <c r="I362" i="1"/>
  <c r="I1889" i="1"/>
  <c r="I475" i="1"/>
  <c r="I1792" i="1"/>
  <c r="I558" i="1"/>
  <c r="I803" i="1"/>
  <c r="I559" i="1"/>
  <c r="I1576" i="1"/>
  <c r="I1520" i="1"/>
  <c r="I1423" i="1"/>
  <c r="I163" i="1"/>
  <c r="I1682" i="1"/>
  <c r="I618" i="1"/>
  <c r="I416" i="1"/>
  <c r="I1452" i="1"/>
  <c r="I935" i="1"/>
  <c r="I11" i="1"/>
  <c r="I777" i="1"/>
  <c r="I772" i="1"/>
  <c r="I547" i="1"/>
  <c r="I1022" i="1"/>
  <c r="I784" i="1"/>
  <c r="I1737" i="1"/>
  <c r="I1489" i="1"/>
  <c r="I1430" i="1"/>
  <c r="I1542" i="1"/>
  <c r="I12" i="1"/>
  <c r="I1503" i="1"/>
  <c r="I1030" i="1"/>
  <c r="I1247" i="1"/>
  <c r="I1155" i="1"/>
  <c r="I213" i="1"/>
  <c r="I1866" i="1"/>
  <c r="I922" i="1"/>
  <c r="I219" i="1"/>
  <c r="I72" i="1"/>
  <c r="I1072" i="1"/>
  <c r="I82" i="1"/>
  <c r="I428" i="1"/>
  <c r="I1881" i="1"/>
  <c r="I1119" i="1"/>
  <c r="I606" i="1"/>
  <c r="I1391" i="1"/>
  <c r="I329" i="1"/>
  <c r="I595" i="1"/>
  <c r="I1347" i="1"/>
  <c r="I149" i="1"/>
  <c r="I943" i="1"/>
  <c r="I1780" i="1"/>
  <c r="I1874" i="1"/>
  <c r="I1024" i="1"/>
  <c r="I650" i="1"/>
  <c r="I1870" i="1"/>
  <c r="I1782" i="1"/>
  <c r="I366" i="1"/>
  <c r="I1922" i="1"/>
  <c r="I1959" i="1"/>
  <c r="I1731" i="1"/>
  <c r="I1664" i="1"/>
  <c r="I871" i="1"/>
  <c r="I1094" i="1"/>
  <c r="I1462" i="1"/>
  <c r="I988" i="1"/>
  <c r="I124" i="1"/>
  <c r="I730" i="1"/>
  <c r="I573" i="1"/>
  <c r="I1739" i="1"/>
  <c r="I1891" i="1"/>
  <c r="I961" i="1"/>
  <c r="I1371" i="1"/>
  <c r="I197" i="1"/>
  <c r="I1599" i="1"/>
  <c r="I277" i="1"/>
  <c r="I1554" i="1"/>
  <c r="I831" i="1"/>
  <c r="I1265" i="1"/>
  <c r="I1779" i="1"/>
  <c r="I903" i="1"/>
  <c r="I582" i="1"/>
  <c r="I1996" i="1"/>
  <c r="I1538" i="1"/>
  <c r="I1284" i="1"/>
  <c r="I1884" i="1"/>
  <c r="I534" i="1"/>
  <c r="I161" i="1"/>
  <c r="I1345" i="1"/>
  <c r="I42" i="1"/>
  <c r="I570" i="1"/>
  <c r="I92" i="1"/>
  <c r="I900" i="1"/>
  <c r="I61" i="1"/>
  <c r="I1807" i="1"/>
  <c r="I1551" i="1"/>
  <c r="I911" i="1"/>
  <c r="I927" i="1"/>
  <c r="I1931" i="1"/>
  <c r="I1044" i="1"/>
  <c r="I776" i="1"/>
  <c r="I1315" i="1"/>
  <c r="I512" i="1"/>
  <c r="I140" i="1"/>
  <c r="I926" i="1"/>
  <c r="I494" i="1"/>
  <c r="I78" i="1"/>
  <c r="I1400" i="1"/>
  <c r="I1683" i="1"/>
  <c r="I1733" i="1"/>
  <c r="I1387" i="1"/>
  <c r="I389" i="1"/>
  <c r="I793" i="1"/>
  <c r="I787" i="1"/>
  <c r="I597" i="1"/>
  <c r="I690" i="1"/>
  <c r="I1302" i="1"/>
  <c r="I1727" i="1"/>
  <c r="I1260" i="1"/>
  <c r="I123" i="1"/>
  <c r="I406" i="1"/>
  <c r="I432" i="1"/>
  <c r="I1668" i="1"/>
  <c r="I1526" i="1"/>
  <c r="I1908" i="1"/>
  <c r="I1936" i="1"/>
  <c r="I480" i="1"/>
  <c r="I1785" i="1"/>
  <c r="I875" i="1"/>
  <c r="I1033" i="1"/>
  <c r="I732" i="1"/>
  <c r="I655" i="1"/>
  <c r="I1011" i="1"/>
  <c r="I583" i="1"/>
  <c r="I290" i="1"/>
  <c r="I1376" i="1"/>
  <c r="I769" i="1"/>
  <c r="I289" i="1"/>
  <c r="I913" i="1"/>
  <c r="I845" i="1"/>
  <c r="I1251" i="1"/>
  <c r="I1366" i="1"/>
  <c r="I1208" i="1"/>
  <c r="I53" i="1"/>
  <c r="I1270" i="1"/>
  <c r="I505" i="1"/>
  <c r="I464" i="1"/>
  <c r="I994" i="1"/>
  <c r="I1171" i="1"/>
  <c r="I1846" i="1"/>
  <c r="I802" i="1"/>
  <c r="I67" i="1"/>
  <c r="I694" i="1"/>
  <c r="I1255" i="1"/>
  <c r="I402" i="1"/>
  <c r="I209" i="1"/>
  <c r="I1809" i="1"/>
  <c r="I1743" i="1"/>
  <c r="I1201" i="1"/>
  <c r="I936" i="1"/>
  <c r="I1513" i="1"/>
  <c r="I502" i="1"/>
  <c r="I59" i="1"/>
  <c r="I1760" i="1"/>
  <c r="I620" i="1"/>
  <c r="I1331" i="1"/>
  <c r="I530" i="1"/>
  <c r="I1185" i="1"/>
  <c r="I421" i="1"/>
  <c r="I1091" i="1"/>
  <c r="I1678" i="1"/>
  <c r="I1721" i="1"/>
  <c r="I546" i="1"/>
  <c r="I767" i="1"/>
  <c r="I1929" i="1"/>
  <c r="I1188" i="1"/>
  <c r="I1534" i="1"/>
  <c r="I1080" i="1"/>
  <c r="I431" i="1"/>
  <c r="I1817" i="1"/>
  <c r="I347" i="1"/>
  <c r="I391" i="1"/>
  <c r="I1869" i="1"/>
  <c r="I181" i="1"/>
  <c r="I960" i="1"/>
  <c r="I1303" i="1"/>
  <c r="I924" i="1"/>
  <c r="I575" i="1"/>
  <c r="I157" i="1"/>
  <c r="I1384" i="1"/>
  <c r="I1476" i="1"/>
  <c r="I1133" i="1"/>
  <c r="I905" i="1"/>
  <c r="I143" i="1"/>
  <c r="I356" i="1"/>
  <c r="I1999" i="1"/>
  <c r="I1420" i="1"/>
  <c r="I283" i="1"/>
  <c r="I992" i="1"/>
  <c r="I115" i="1"/>
  <c r="I1396" i="1"/>
  <c r="I1242" i="1"/>
  <c r="I794" i="1"/>
  <c r="I1473" i="1"/>
  <c r="I1518" i="1"/>
  <c r="I1957" i="1"/>
  <c r="I1506" i="1"/>
  <c r="I696" i="1"/>
  <c r="I1222" i="1"/>
  <c r="I70" i="1"/>
  <c r="I1724" i="1"/>
  <c r="I1162" i="1"/>
  <c r="I1557" i="1"/>
  <c r="I685" i="1"/>
  <c r="I1605" i="1"/>
  <c r="I1392" i="1"/>
  <c r="I996" i="1"/>
  <c r="I1107" i="1"/>
  <c r="I1684" i="1"/>
  <c r="I399" i="1"/>
  <c r="I1872" i="1"/>
  <c r="I623" i="1"/>
  <c r="I438" i="1"/>
  <c r="I1510" i="1"/>
  <c r="I144" i="1"/>
  <c r="I823" i="1"/>
  <c r="I1157" i="1"/>
  <c r="I1436" i="1"/>
  <c r="I1966" i="1"/>
  <c r="I895" i="1"/>
  <c r="I599" i="1"/>
  <c r="I785" i="1"/>
  <c r="I1955" i="1"/>
  <c r="I1135" i="1"/>
  <c r="I586" i="1"/>
  <c r="I175" i="1"/>
  <c r="I1256" i="1"/>
  <c r="I1471" i="1"/>
  <c r="I1825" i="1"/>
  <c r="I868" i="1"/>
  <c r="I1253" i="1"/>
  <c r="I435" i="1"/>
  <c r="I698" i="1"/>
  <c r="I1649" i="1"/>
  <c r="I1285" i="1"/>
  <c r="I1836" i="1"/>
  <c r="I319" i="1"/>
  <c r="I593" i="1"/>
  <c r="I579" i="1"/>
  <c r="I637" i="1"/>
  <c r="I1287" i="1"/>
  <c r="I1329" i="1"/>
  <c r="I39" i="1"/>
  <c r="I461" i="1"/>
  <c r="I357" i="1"/>
  <c r="I1317" i="1"/>
  <c r="I54" i="1"/>
  <c r="I1200" i="1"/>
  <c r="I1818" i="1"/>
  <c r="I1681" i="1"/>
  <c r="I1974" i="1"/>
  <c r="I1205" i="1"/>
  <c r="I842" i="1"/>
  <c r="I1765" i="1"/>
  <c r="I918" i="1"/>
  <c r="I208" i="1"/>
  <c r="I1961" i="1"/>
  <c r="I303" i="1"/>
  <c r="I1006" i="1"/>
  <c r="I145" i="1"/>
  <c r="I590" i="1"/>
  <c r="I499" i="1"/>
  <c r="I532" i="1"/>
  <c r="I1411" i="1"/>
  <c r="I1269" i="1"/>
  <c r="I974" i="1"/>
  <c r="I1321" i="1"/>
  <c r="I259" i="1"/>
  <c r="I24" i="1"/>
  <c r="I1578" i="1"/>
  <c r="I405" i="1"/>
  <c r="I1148" i="1"/>
  <c r="I893" i="1"/>
  <c r="I1286" i="1"/>
  <c r="I1517" i="1"/>
  <c r="I1839" i="1"/>
  <c r="I1113" i="1"/>
  <c r="I1308" i="1"/>
  <c r="I1602" i="1"/>
  <c r="I47" i="1"/>
  <c r="I1652" i="1"/>
  <c r="I111" i="1"/>
  <c r="I1035" i="1"/>
  <c r="I669" i="1"/>
  <c r="I630" i="1"/>
  <c r="I467" i="1"/>
  <c r="I1592" i="1"/>
  <c r="I1850" i="1"/>
  <c r="I1463" i="1"/>
  <c r="I1651" i="1"/>
  <c r="I500" i="1"/>
  <c r="I165" i="1"/>
  <c r="I1057" i="1"/>
  <c r="I57" i="1"/>
  <c r="I1283" i="1"/>
  <c r="I538" i="1"/>
  <c r="I1025" i="1"/>
  <c r="I1824" i="1"/>
  <c r="I330" i="1"/>
  <c r="I22" i="1"/>
  <c r="I1415" i="1"/>
  <c r="I287" i="1"/>
  <c r="I32" i="1"/>
  <c r="I1202" i="1"/>
  <c r="I671" i="1"/>
  <c r="I1166" i="1"/>
  <c r="I503" i="1"/>
  <c r="I4" i="1"/>
  <c r="I722" i="1"/>
  <c r="I173" i="1"/>
  <c r="I958" i="1"/>
  <c r="I1333" i="1"/>
  <c r="I462" i="1"/>
  <c r="I1144" i="1"/>
  <c r="I292" i="1"/>
  <c r="I1548" i="1"/>
  <c r="I1640" i="1"/>
  <c r="I1747" i="1"/>
  <c r="I689" i="1"/>
  <c r="I515" i="1"/>
  <c r="I28" i="1"/>
  <c r="I302" i="1"/>
  <c r="I1771" i="1"/>
  <c r="I19" i="1"/>
  <c r="I390" i="1"/>
  <c r="I1261" i="1"/>
  <c r="I365" i="1"/>
  <c r="I1306" i="1"/>
  <c r="I1288" i="1"/>
  <c r="I1986" i="1"/>
  <c r="I554" i="1"/>
  <c r="I1238" i="1"/>
  <c r="I919" i="1"/>
  <c r="I1467" i="1"/>
  <c r="I1763" i="1"/>
  <c r="I1529" i="1"/>
  <c r="I614" i="1"/>
  <c r="I1689" i="1"/>
  <c r="I1176" i="1"/>
  <c r="I941" i="1"/>
  <c r="I1532" i="1"/>
  <c r="I800" i="1"/>
  <c r="I1909" i="1"/>
  <c r="I1085" i="1"/>
  <c r="I950" i="1"/>
  <c r="I1428" i="1"/>
  <c r="I328" i="1"/>
  <c r="I626" i="1"/>
  <c r="I1401" i="1"/>
  <c r="I1314" i="1"/>
  <c r="I1490" i="1"/>
  <c r="I1132" i="1"/>
  <c r="I1161" i="1"/>
  <c r="I1897" i="1"/>
  <c r="I270" i="1"/>
  <c r="I215" i="1"/>
  <c r="I1159" i="1"/>
  <c r="I1223" i="1"/>
  <c r="I1278" i="1"/>
  <c r="I491" i="1"/>
  <c r="I1497" i="1"/>
  <c r="I1407" i="1"/>
  <c r="I1357" i="1"/>
  <c r="I1064" i="1"/>
  <c r="I1429" i="1"/>
  <c r="I1294" i="1"/>
  <c r="I1293" i="1"/>
  <c r="I1885" i="1"/>
  <c r="I274" i="1"/>
  <c r="I1921" i="1"/>
  <c r="I815" i="1"/>
  <c r="I765" i="1"/>
  <c r="I1855" i="1"/>
  <c r="I1612" i="1"/>
  <c r="I1918" i="1"/>
  <c r="I1958" i="1"/>
  <c r="I516" i="1"/>
  <c r="I456" i="1"/>
  <c r="I1275" i="1"/>
  <c r="I834" i="1"/>
  <c r="I1042" i="1"/>
  <c r="I137" i="1"/>
  <c r="I1880" i="1"/>
  <c r="I1717" i="1"/>
  <c r="I1031" i="1"/>
  <c r="I15" i="1"/>
  <c r="I49" i="1"/>
  <c r="I1434" i="1"/>
  <c r="I1993" i="1"/>
  <c r="I966" i="1"/>
  <c r="I877" i="1"/>
  <c r="I1994" i="1"/>
  <c r="I378" i="1"/>
  <c r="I188" i="1"/>
  <c r="I1298" i="1"/>
  <c r="I1516" i="1"/>
  <c r="I601" i="1"/>
  <c r="I1804" i="1"/>
  <c r="I568" i="1"/>
  <c r="I1616" i="1"/>
  <c r="I1740" i="1"/>
  <c r="I902" i="1"/>
  <c r="I1701" i="1"/>
  <c r="I344" i="1"/>
  <c r="I376" i="1"/>
  <c r="I1923" i="1"/>
  <c r="I751" i="1"/>
  <c r="I1930" i="1"/>
  <c r="I1102" i="1"/>
  <c r="I324" i="1"/>
  <c r="I847" i="1"/>
  <c r="I241" i="1"/>
  <c r="I840" i="1"/>
  <c r="I450" i="1"/>
  <c r="I1040" i="1"/>
  <c r="I1519" i="1"/>
  <c r="I1193" i="1"/>
  <c r="I1450" i="1"/>
  <c r="I353" i="1"/>
  <c r="I1720" i="1"/>
  <c r="I884" i="1"/>
  <c r="I600" i="1"/>
  <c r="I965" i="1"/>
  <c r="I1220" i="1"/>
  <c r="I1289" i="1"/>
  <c r="I1981" i="1"/>
  <c r="I349" i="1"/>
  <c r="I465" i="1"/>
  <c r="I1039" i="1"/>
  <c r="I171" i="1"/>
  <c r="I1812" i="1"/>
  <c r="I854" i="1"/>
  <c r="I1978" i="1"/>
  <c r="I1710" i="1"/>
  <c r="I260" i="1"/>
  <c r="I1726" i="1"/>
  <c r="I1819" i="1"/>
  <c r="I236" i="1"/>
  <c r="I74" i="1"/>
  <c r="I1680" i="1"/>
  <c r="I1601" i="1"/>
  <c r="I1949" i="1"/>
  <c r="I1813" i="1"/>
  <c r="I1537" i="1"/>
  <c r="I1249" i="1"/>
  <c r="I916" i="1"/>
  <c r="I1378" i="1"/>
  <c r="I1198" i="1"/>
  <c r="I571" i="1"/>
  <c r="I403" i="1"/>
  <c r="I1686" i="1"/>
  <c r="I507" i="1"/>
  <c r="I151" i="1"/>
  <c r="I1342" i="1"/>
  <c r="I408" i="1"/>
  <c r="I1603" i="1"/>
  <c r="I642" i="1"/>
  <c r="I6" i="1"/>
  <c r="I1380" i="1"/>
  <c r="I1181" i="1"/>
  <c r="I407" i="1"/>
  <c r="I1499" i="1"/>
  <c r="I496" i="1"/>
  <c r="I131" i="1"/>
  <c r="I245" i="1"/>
  <c r="I1052" i="1"/>
  <c r="I657" i="1"/>
  <c r="I1971" i="1"/>
  <c r="I1173" i="1"/>
  <c r="I598" i="1"/>
  <c r="I1084" i="1"/>
  <c r="I1535" i="1"/>
  <c r="I959" i="1"/>
  <c r="I1095" i="1"/>
  <c r="I1179" i="1"/>
  <c r="I371" i="1"/>
  <c r="I1377" i="1"/>
  <c r="I410" i="1"/>
  <c r="I136" i="1"/>
  <c r="I1528" i="1"/>
  <c r="I1699" i="1"/>
  <c r="I321" i="1"/>
  <c r="I1589" i="1"/>
  <c r="I1655" i="1"/>
  <c r="I1054" i="1"/>
  <c r="I1479" i="1"/>
  <c r="I257" i="1"/>
  <c r="I1906" i="1"/>
  <c r="I1565" i="1"/>
  <c r="I66" i="1"/>
  <c r="I192" i="1"/>
  <c r="I1141" i="1"/>
  <c r="I1059" i="1"/>
  <c r="I275" i="1"/>
  <c r="I629" i="1"/>
  <c r="I424" i="1"/>
  <c r="I692" i="1"/>
  <c r="I1877" i="1"/>
  <c r="I1575" i="1"/>
  <c r="I1871" i="1"/>
  <c r="I1231" i="1"/>
  <c r="I646" i="1"/>
  <c r="I849" i="1"/>
  <c r="I341" i="1"/>
  <c r="I1876" i="1"/>
  <c r="I691" i="1"/>
  <c r="I1480" i="1"/>
  <c r="I1697" i="1"/>
  <c r="I881" i="1"/>
  <c r="I58" i="1"/>
  <c r="I1767" i="1"/>
  <c r="I513" i="1"/>
  <c r="I537" i="1"/>
  <c r="I482" i="1"/>
  <c r="I700" i="1"/>
  <c r="I1226" i="1"/>
  <c r="I264" i="1"/>
  <c r="I1417" i="1"/>
  <c r="I1793" i="1"/>
  <c r="I1075" i="1"/>
  <c r="I1494" i="1"/>
  <c r="I69" i="1"/>
  <c r="I1307" i="1"/>
  <c r="I1582" i="1"/>
  <c r="I121" i="1"/>
  <c r="I68" i="1"/>
  <c r="I372" i="1"/>
  <c r="I1393" i="1"/>
  <c r="I1341" i="1"/>
  <c r="I1350" i="1"/>
  <c r="I1312" i="1"/>
  <c r="I963" i="1"/>
  <c r="I381" i="1"/>
  <c r="I452" i="1"/>
  <c r="I1292" i="1"/>
  <c r="I1725" i="1"/>
  <c r="I602" i="1"/>
  <c r="I1713" i="1"/>
  <c r="I1098" i="1"/>
  <c r="I1127" i="1"/>
  <c r="I1854" i="1"/>
  <c r="I89" i="1"/>
  <c r="I1800" i="1"/>
  <c r="I1197" i="1"/>
  <c r="I1859" i="1"/>
  <c r="I1989" i="1"/>
  <c r="I1348" i="1"/>
  <c r="I1814" i="1"/>
  <c r="I1956" i="1"/>
  <c r="I560" i="1"/>
  <c r="I325" i="1"/>
  <c r="I1522" i="1"/>
  <c r="I225" i="1"/>
  <c r="I734" i="1"/>
  <c r="I1334" i="1"/>
  <c r="I1399" i="1"/>
  <c r="I779" i="1"/>
  <c r="I1382" i="1"/>
  <c r="I1003" i="1"/>
  <c r="I792" i="1"/>
  <c r="I1477" i="1"/>
  <c r="I218" i="1"/>
  <c r="I667" i="1"/>
  <c r="I848" i="1"/>
  <c r="I187" i="1"/>
  <c r="I55" i="1"/>
  <c r="I1748" i="1"/>
  <c r="I1280" i="1"/>
  <c r="I1235" i="1"/>
  <c r="I447" i="1"/>
  <c r="I100" i="1"/>
  <c r="I1120" i="1"/>
  <c r="I796" i="1"/>
  <c r="I1153" i="1"/>
  <c r="I1062" i="1"/>
  <c r="I1365" i="1"/>
  <c r="I861" i="1"/>
  <c r="I224" i="1"/>
  <c r="I436" i="1"/>
  <c r="I454" i="1"/>
  <c r="I801" i="1"/>
  <c r="I228" i="1"/>
  <c r="I951" i="1"/>
  <c r="I1630" i="1"/>
  <c r="I65" i="1"/>
  <c r="I1492" i="1"/>
  <c r="I542" i="1"/>
  <c r="I891" i="1"/>
  <c r="I1126" i="1"/>
  <c r="I1381" i="1"/>
  <c r="I1547" i="1"/>
  <c r="I740" i="1"/>
  <c r="I377" i="1"/>
  <c r="I342" i="1"/>
  <c r="I1627" i="1"/>
  <c r="I613" i="1"/>
  <c r="I1211" i="1"/>
  <c r="I1574" i="1"/>
  <c r="I939" i="1"/>
  <c r="I870" i="1"/>
  <c r="I727" i="1"/>
  <c r="I1470" i="1"/>
  <c r="I1403" i="1"/>
  <c r="I964" i="1"/>
  <c r="I1541" i="1"/>
  <c r="I1395" i="1"/>
  <c r="I1464" i="1"/>
  <c r="I882" i="1"/>
  <c r="I528" i="1"/>
  <c r="I1001" i="1"/>
  <c r="I885" i="1"/>
  <c r="I299" i="1"/>
  <c r="I1716" i="1"/>
  <c r="I1013" i="1"/>
  <c r="I798" i="1"/>
  <c r="I345" i="1"/>
  <c r="I280" i="1"/>
  <c r="I708" i="1"/>
  <c r="I1938" i="1"/>
  <c r="I1898" i="1"/>
  <c r="I566" i="1"/>
  <c r="I915" i="1"/>
  <c r="I5" i="1"/>
  <c r="I87" i="1"/>
  <c r="I202" i="1"/>
  <c r="I1893" i="1"/>
  <c r="I1895" i="1"/>
  <c r="I1939" i="1"/>
  <c r="I860" i="1"/>
  <c r="I1444" i="1"/>
  <c r="I873" i="1"/>
  <c r="I1055" i="1"/>
  <c r="I1264" i="1"/>
  <c r="I1425" i="1"/>
  <c r="I584" i="1"/>
  <c r="I1821" i="1"/>
  <c r="I417" i="1"/>
  <c r="I444" i="1"/>
  <c r="I1901" i="1"/>
  <c r="I296" i="1"/>
  <c r="I304" i="1"/>
  <c r="I380" i="1"/>
  <c r="I1418" i="1"/>
  <c r="I433" i="1"/>
  <c r="I286" i="1"/>
  <c r="I704" i="1"/>
  <c r="I1448" i="1"/>
  <c r="I1673" i="1"/>
  <c r="I770" i="1"/>
  <c r="I1313" i="1"/>
  <c r="I294" i="1"/>
  <c r="I1840" i="1"/>
  <c r="I153" i="1"/>
  <c r="I364" i="1"/>
  <c r="I564" i="1"/>
  <c r="I415" i="1"/>
  <c r="I1770" i="1"/>
  <c r="I757" i="1"/>
  <c r="I755" i="1"/>
  <c r="I134" i="1"/>
  <c r="I1092" i="1"/>
  <c r="I404" i="1"/>
  <c r="I1435" i="1"/>
  <c r="I1562" i="1"/>
  <c r="I80" i="1"/>
  <c r="I851" i="1"/>
  <c r="I677" i="1"/>
  <c r="I211" i="1"/>
  <c r="I1483" i="1"/>
  <c r="I1390" i="1"/>
  <c r="I647" i="1"/>
  <c r="I451" i="1"/>
  <c r="I928" i="1"/>
  <c r="I1742" i="1"/>
  <c r="I1987" i="1"/>
  <c r="I474" i="1"/>
  <c r="I117" i="1"/>
  <c r="I1920" i="1"/>
  <c r="I168" i="1"/>
  <c r="I1937" i="1"/>
  <c r="I1136" i="1"/>
  <c r="I1647" i="1"/>
  <c r="I1619" i="1"/>
  <c r="I398" i="1"/>
  <c r="I853" i="1"/>
  <c r="I3" i="1"/>
  <c r="I1455" i="1"/>
  <c r="I1150" i="1"/>
  <c r="I1375" i="1"/>
  <c r="I1749" i="1"/>
  <c r="I1239" i="1"/>
  <c r="I525" i="1"/>
  <c r="I1404" i="1"/>
  <c r="I1130" i="1"/>
  <c r="I1762" i="1"/>
  <c r="I942" i="1"/>
  <c r="I1274" i="1"/>
  <c r="I1980" i="1"/>
  <c r="I1443" i="1"/>
  <c r="I442" i="1"/>
  <c r="I1007" i="1"/>
  <c r="I852" i="1"/>
  <c r="I1579" i="1"/>
  <c r="I1397" i="1"/>
  <c r="I702" i="1"/>
  <c r="I1511" i="1"/>
  <c r="I523" i="1"/>
  <c r="I1164" i="1"/>
  <c r="I1225" i="1"/>
  <c r="I826" i="1"/>
  <c r="I944" i="1"/>
  <c r="I1032" i="1"/>
  <c r="I824" i="1"/>
  <c r="I41" i="1"/>
  <c r="I317" i="1"/>
  <c r="I1761" i="1"/>
  <c r="I728" i="1"/>
  <c r="I1910" i="1"/>
  <c r="I1536" i="1"/>
  <c r="I819" i="1"/>
  <c r="I978" i="1"/>
  <c r="I687" i="1"/>
  <c r="I1169" i="1"/>
  <c r="I567" i="1"/>
  <c r="I1083" i="1"/>
  <c r="I1607" i="1"/>
  <c r="I1591" i="1"/>
  <c r="I1924" i="1"/>
  <c r="I50" i="1"/>
  <c r="I1692" i="1"/>
  <c r="I204" i="1"/>
  <c r="I1213" i="1"/>
  <c r="I1026" i="1"/>
  <c r="I920" i="1"/>
  <c r="I177" i="1"/>
  <c r="I1882" i="1"/>
  <c r="I717" i="1"/>
  <c r="I1349" i="1"/>
  <c r="I1250" i="1"/>
  <c r="I1903" i="1"/>
  <c r="I373" i="1"/>
  <c r="I1301" i="1"/>
  <c r="I1484" i="1"/>
  <c r="I323" i="1"/>
  <c r="I312" i="1"/>
  <c r="I1935" i="1"/>
  <c r="I1097" i="1"/>
  <c r="I1644" i="1"/>
  <c r="I222" i="1"/>
  <c r="I616" i="1"/>
  <c r="I987" i="1"/>
  <c r="I1332" i="1"/>
  <c r="I196" i="1"/>
  <c r="I1240" i="1"/>
  <c r="I1358" i="1"/>
  <c r="I989" i="1"/>
  <c r="I1808" i="1"/>
  <c r="I1402" i="1"/>
  <c r="I723" i="1"/>
  <c r="I207" i="1"/>
  <c r="I1801" i="1"/>
  <c r="I1555" i="1"/>
  <c r="I1028" i="1"/>
  <c r="I221" i="1"/>
  <c r="I1158" i="1"/>
  <c r="I589" i="1"/>
  <c r="I98" i="1"/>
  <c r="I486" i="1"/>
  <c r="I498" i="1"/>
  <c r="I1029" i="1"/>
  <c r="I594" i="1"/>
  <c r="I1786" i="1"/>
  <c r="I1077" i="1"/>
  <c r="I1093" i="1"/>
  <c r="I154" i="1"/>
  <c r="I729" i="1"/>
  <c r="I1373" i="1"/>
  <c r="I1738" i="1"/>
  <c r="I985" i="1"/>
  <c r="I1328" i="1"/>
  <c r="I680" i="1"/>
  <c r="I605" i="1"/>
  <c r="I29" i="1"/>
  <c r="I425" i="1"/>
  <c r="I1646" i="1"/>
  <c r="I101" i="1"/>
  <c r="I1979" i="1"/>
  <c r="I1386" i="1"/>
  <c r="I200" i="1"/>
  <c r="I1182" i="1"/>
  <c r="I308" i="1"/>
  <c r="I999" i="1"/>
  <c r="I1729" i="1"/>
  <c r="I147" i="1"/>
  <c r="I1351" i="1"/>
  <c r="I493" i="1"/>
  <c r="I94" i="1"/>
  <c r="I519" i="1"/>
  <c r="I1608" i="1"/>
  <c r="I1783" i="1"/>
  <c r="I1330" i="1"/>
  <c r="I1096" i="1"/>
  <c r="I1111" i="1"/>
  <c r="I1137" i="1"/>
  <c r="I1754" i="1"/>
  <c r="I1050" i="1"/>
  <c r="I1453" i="1"/>
  <c r="I1432" i="1"/>
  <c r="I1369" i="1"/>
  <c r="I1756" i="1"/>
  <c r="I1973" i="1"/>
  <c r="I631" i="1"/>
  <c r="I466" i="1"/>
  <c r="I1914" i="1"/>
  <c r="I898" i="1"/>
  <c r="I973" i="1"/>
  <c r="I817" i="1"/>
  <c r="I931" i="1"/>
  <c r="I1421" i="1"/>
  <c r="I1322" i="1"/>
  <c r="I1020" i="1"/>
  <c r="I1913" i="1"/>
  <c r="I1457" i="1"/>
  <c r="I238" i="1"/>
  <c r="I1433" i="1"/>
  <c r="I1588" i="1"/>
  <c r="I887" i="1"/>
  <c r="I688" i="1"/>
  <c r="I1944" i="1"/>
  <c r="I744" i="1"/>
  <c r="I1549" i="1"/>
  <c r="I923" i="1"/>
  <c r="I1282" i="1"/>
  <c r="I1051" i="1"/>
  <c r="I555" i="1"/>
  <c r="I263" i="1"/>
  <c r="I495" i="1"/>
  <c r="I1732" i="1"/>
  <c r="I1553" i="1"/>
  <c r="I1118" i="1"/>
  <c r="I660" i="1"/>
  <c r="I1623" i="1"/>
  <c r="I25" i="1"/>
  <c r="I1045" i="1"/>
  <c r="I1123" i="1"/>
  <c r="I1112" i="1"/>
  <c r="I148" i="1"/>
  <c r="I716" i="1"/>
  <c r="I1458" i="1"/>
  <c r="I1273" i="1"/>
  <c r="I340" i="1"/>
  <c r="I18" i="1"/>
  <c r="I912" i="1"/>
  <c r="I17" i="1"/>
  <c r="I678" i="1"/>
  <c r="I489" i="1"/>
  <c r="I1041" i="1"/>
  <c r="I1852" i="1"/>
  <c r="I1614" i="1"/>
  <c r="I1388" i="1"/>
  <c r="I311" i="1"/>
  <c r="I615" i="1"/>
  <c r="I352" i="1"/>
  <c r="I1212" i="1"/>
  <c r="I1221" i="1"/>
  <c r="I1053" i="1"/>
  <c r="I814" i="1"/>
  <c r="I1940" i="1"/>
  <c r="I1875" i="1"/>
  <c r="I1694" i="1"/>
  <c r="I1023" i="1"/>
  <c r="I194" i="1"/>
  <c r="I1299" i="1"/>
  <c r="I1339" i="1"/>
  <c r="I975" i="1"/>
  <c r="I733" i="1"/>
  <c r="I1873" i="1"/>
  <c r="I169" i="1"/>
  <c r="I653" i="1"/>
  <c r="I468" i="1"/>
  <c r="I455" i="1"/>
  <c r="I443" i="1"/>
  <c r="I535" i="1"/>
  <c r="I1335" i="1"/>
  <c r="I253" i="1"/>
  <c r="I305" i="1"/>
  <c r="I1523" i="1"/>
  <c r="I472" i="1"/>
  <c r="I1228" i="1"/>
  <c r="I738" i="1"/>
  <c r="I809" i="1"/>
  <c r="I1745" i="1"/>
  <c r="I1461" i="1"/>
  <c r="I610" i="1"/>
  <c r="I1218" i="1"/>
  <c r="I1505" i="1"/>
  <c r="I1446" i="1"/>
  <c r="I1279" i="1"/>
  <c r="I346" i="1"/>
  <c r="I1744" i="1"/>
  <c r="I1068" i="1"/>
  <c r="I1753" i="1"/>
  <c r="I276" i="1"/>
  <c r="I1715" i="1"/>
  <c r="I1495" i="1"/>
  <c r="I256" i="1"/>
  <c r="I1789" i="1"/>
  <c r="I1394" i="1"/>
  <c r="I1784" i="1"/>
  <c r="I1643" i="1"/>
  <c r="I1215" i="1"/>
  <c r="I581" i="1"/>
  <c r="I315" i="1"/>
  <c r="I1948" i="1"/>
  <c r="I1004" i="1"/>
  <c r="I1514" i="1"/>
  <c r="I1266" i="1"/>
  <c r="I980" i="1"/>
  <c r="I1343" i="1"/>
  <c r="I587" i="1"/>
  <c r="I1916" i="1"/>
  <c r="I837" i="1"/>
  <c r="I63" i="1"/>
  <c r="I1515" i="1"/>
  <c r="I146" i="1"/>
  <c r="I46" i="1"/>
  <c r="I1071" i="1"/>
  <c r="I1525" i="1"/>
  <c r="I335" i="1"/>
  <c r="I910" i="1"/>
  <c r="I1110" i="1"/>
  <c r="I285" i="1"/>
  <c r="I1087" i="1"/>
  <c r="I1585" i="1"/>
  <c r="I551" i="1"/>
  <c r="I866" i="1"/>
  <c r="I1416" i="1"/>
  <c r="I191" i="1"/>
  <c r="I1156" i="1"/>
  <c r="I1781" i="1"/>
  <c r="I780" i="1"/>
  <c r="I120" i="1"/>
  <c r="I64" i="1"/>
  <c r="I1831" i="1"/>
  <c r="I1117" i="1"/>
  <c r="I1842" i="1"/>
  <c r="I1787" i="1"/>
  <c r="I1746" i="1"/>
  <c r="I1291" i="1"/>
  <c r="I1571" i="1"/>
  <c r="I1047" i="1"/>
  <c r="I1856" i="1"/>
  <c r="I1928" i="1"/>
  <c r="I420" i="1"/>
  <c r="I448" i="1"/>
  <c r="I1509" i="1"/>
  <c r="I348" i="1"/>
  <c r="I1196" i="1"/>
  <c r="I60" i="1"/>
  <c r="I1860" i="1"/>
  <c r="I298" i="1"/>
  <c r="I1441" i="1"/>
  <c r="I1862" i="1"/>
  <c r="I838" i="1"/>
  <c r="I31" i="1"/>
  <c r="I166" i="1"/>
  <c r="I1911" i="1"/>
  <c r="I521" i="1"/>
  <c r="I1896" i="1"/>
  <c r="I1074" i="1"/>
  <c r="I38" i="1"/>
  <c r="I749" i="1"/>
  <c r="I1905" i="1"/>
  <c r="I948" i="1"/>
  <c r="I1469" i="1"/>
  <c r="I1566" i="1"/>
  <c r="I1687" i="1"/>
  <c r="I1533" i="1"/>
  <c r="I1466" i="1"/>
  <c r="I1178" i="1"/>
  <c r="I705" i="1"/>
  <c r="I1241" i="1"/>
  <c r="I713" i="1"/>
  <c r="I1116" i="1"/>
  <c r="I1757" i="1"/>
  <c r="I1246" i="1"/>
  <c r="I1131" i="1"/>
  <c r="I1569" i="1"/>
  <c r="I956" i="1"/>
  <c r="I497" i="1"/>
  <c r="I242" i="1"/>
  <c r="I1372" i="1"/>
  <c r="I1933" i="1"/>
  <c r="I1887" i="1"/>
  <c r="I896" i="1"/>
  <c r="I812" i="1"/>
  <c r="I783" i="1"/>
  <c r="I10" i="1"/>
  <c r="I37" i="1"/>
  <c r="I133" i="1"/>
  <c r="I940" i="1"/>
  <c r="I99" i="1"/>
  <c r="I355" i="1"/>
  <c r="I1058" i="1"/>
  <c r="I1734" i="1"/>
  <c r="I13" i="1"/>
  <c r="I1128" i="1"/>
  <c r="I588" i="1"/>
  <c r="I1998" i="1"/>
  <c r="I1590" i="1"/>
  <c r="I243" i="1"/>
  <c r="I748" i="1"/>
  <c r="I1104" i="1"/>
  <c r="I414" i="1"/>
  <c r="I360" i="1"/>
  <c r="I1027" i="1"/>
  <c r="I938" i="1"/>
  <c r="I917" i="1"/>
  <c r="I71" i="1"/>
  <c r="I781" i="1"/>
  <c r="I246" i="1"/>
  <c r="I676" i="1"/>
  <c r="I813" i="1"/>
  <c r="I375" i="1"/>
  <c r="I1206" i="1"/>
  <c r="I930" i="1"/>
  <c r="I1190" i="1"/>
  <c r="I1327" i="1"/>
  <c r="I180" i="1"/>
  <c r="I1089" i="1"/>
  <c r="I453" i="1"/>
  <c r="I1079" i="1"/>
  <c r="I1449" i="1"/>
  <c r="I176" i="1"/>
  <c r="I541" i="1"/>
  <c r="I190" i="1"/>
  <c r="I1730" i="1"/>
  <c r="I240" i="1"/>
  <c r="I220" i="1"/>
  <c r="I1163" i="1"/>
  <c r="I1815" i="1"/>
  <c r="I1016" i="1"/>
  <c r="I490" i="1"/>
  <c r="I627" i="1"/>
  <c r="I1263" i="1"/>
  <c r="I310" i="1"/>
  <c r="I886" i="1"/>
  <c r="I1849" i="1"/>
  <c r="I1017" i="1"/>
  <c r="I255" i="1"/>
  <c r="I828" i="1"/>
  <c r="I1124" i="1"/>
  <c r="I531" i="1"/>
  <c r="I1857" i="1"/>
  <c r="I1983" i="1"/>
  <c r="I736" i="1"/>
  <c r="I1723" i="1"/>
  <c r="I1295" i="1"/>
  <c r="I1383" i="1"/>
  <c r="I1629" i="1"/>
  <c r="I36" i="1"/>
  <c r="I1160" i="1"/>
  <c r="I979" i="1"/>
  <c r="I429" i="1"/>
  <c r="I773" i="1"/>
  <c r="I1491" i="1"/>
  <c r="I1660" i="1"/>
  <c r="I752" i="1"/>
  <c r="I518" i="1"/>
  <c r="I1653" i="1"/>
  <c r="I20" i="1"/>
  <c r="I797" i="1"/>
  <c r="I1262" i="1"/>
  <c r="I857" i="1"/>
  <c r="I395" i="1"/>
  <c r="I1552" i="1"/>
  <c r="I703" i="1"/>
  <c r="I1965" i="1"/>
  <c r="I306" i="1"/>
  <c r="I1688" i="1"/>
  <c r="I1625" i="1"/>
  <c r="I983" i="1"/>
  <c r="I1214" i="1"/>
  <c r="I1568" i="1"/>
  <c r="I1950" i="1"/>
  <c r="I841" i="1"/>
  <c r="I1707" i="1"/>
  <c r="I1140" i="1"/>
  <c r="I971" i="1"/>
  <c r="I761" i="1"/>
  <c r="I743" i="1"/>
  <c r="I284" i="1"/>
  <c r="I1963" i="1"/>
  <c r="I1070" i="1"/>
  <c r="I1915" i="1"/>
  <c r="I1741" i="1"/>
  <c r="I76" i="1"/>
  <c r="I1773" i="1"/>
  <c r="I95" i="1"/>
  <c r="I585" i="1"/>
  <c r="I141" i="1"/>
  <c r="I27" i="1"/>
  <c r="I1061" i="1"/>
  <c r="I810" i="1"/>
  <c r="I1482" i="1"/>
  <c r="I52" i="1"/>
  <c r="I114" i="1"/>
  <c r="I195" i="1"/>
  <c r="I674" i="1"/>
  <c r="I1199" i="1"/>
  <c r="I234" i="1"/>
  <c r="I327" i="1"/>
  <c r="I51" i="1"/>
  <c r="I1359" i="1"/>
  <c r="I654" i="1"/>
  <c r="I1663" i="1"/>
  <c r="I1304" i="1"/>
  <c r="I1626" i="1"/>
  <c r="I1319" i="1"/>
  <c r="I91" i="1"/>
  <c r="I592" i="1"/>
  <c r="I624" i="1"/>
  <c r="I745" i="1"/>
  <c r="I293" i="1"/>
  <c r="I1379" i="1"/>
  <c r="I248" i="1"/>
  <c r="I520" i="1"/>
  <c r="I1346" i="1"/>
  <c r="I132" i="1"/>
  <c r="I411" i="1"/>
  <c r="I178" i="1"/>
  <c r="I1581" i="1"/>
  <c r="I1337" i="1"/>
  <c r="I314" i="1"/>
  <c r="I119" i="1"/>
  <c r="I268" i="1"/>
  <c r="I1504" i="1"/>
  <c r="I1558" i="1"/>
  <c r="I223" i="1"/>
  <c r="I929" i="1"/>
  <c r="I1847" i="1"/>
  <c r="I1257" i="1"/>
  <c r="I569" i="1"/>
  <c r="I786" i="1"/>
  <c r="I125" i="1"/>
  <c r="I1791" i="1"/>
  <c r="I1728" i="1"/>
  <c r="I300" i="1"/>
  <c r="I1868" i="1"/>
  <c r="I522" i="1"/>
  <c r="I820" i="1"/>
  <c r="I1353" i="1"/>
  <c r="I1556" i="1"/>
  <c r="I1437" i="1"/>
  <c r="I1408" i="1"/>
  <c r="I1129" i="1"/>
  <c r="I874" i="1"/>
  <c r="I782" i="1"/>
  <c r="I686" i="1"/>
  <c r="I1454" i="1"/>
  <c r="I485" i="1"/>
  <c r="I291" i="1"/>
  <c r="I739" i="1"/>
  <c r="I764" i="1"/>
  <c r="I332" i="1"/>
  <c r="I1992" i="1"/>
  <c r="I1224" i="1"/>
  <c r="I804" i="1"/>
  <c r="I156" i="1"/>
  <c r="I1853" i="1"/>
  <c r="I563" i="1"/>
  <c r="I1106" i="1"/>
  <c r="I1309" i="1"/>
  <c r="I1143" i="1"/>
  <c r="I1440" i="1"/>
  <c r="I683" i="1"/>
  <c r="I1617" i="1"/>
  <c r="I445" i="1"/>
  <c r="I759" i="1"/>
  <c r="I1186" i="1"/>
  <c r="I709" i="1"/>
  <c r="I1281" i="1"/>
  <c r="I514" i="1"/>
  <c r="I476" i="1"/>
  <c r="I806" i="1"/>
  <c r="I693" i="1"/>
  <c r="I1934" i="1"/>
  <c r="I2001" i="1"/>
  <c r="I1834" i="1"/>
  <c r="I127" i="1"/>
  <c r="I1696" i="1"/>
  <c r="I1237" i="1"/>
  <c r="I908" i="1"/>
  <c r="I199" i="1"/>
  <c r="I719" i="1"/>
  <c r="I640" i="1"/>
  <c r="I473" i="1"/>
  <c r="I995" i="1"/>
  <c r="I1593" i="1"/>
  <c r="I712" i="1"/>
  <c r="I982" i="1"/>
  <c r="I952" i="1"/>
  <c r="I795" i="1"/>
  <c r="I358" i="1"/>
  <c r="I718" i="1"/>
  <c r="I139" i="1"/>
  <c r="I1613" i="1"/>
  <c r="I85" i="1"/>
  <c r="I334" i="1"/>
  <c r="I1778" i="1"/>
  <c r="I925" i="1"/>
  <c r="I75" i="1"/>
  <c r="I1419" i="1"/>
  <c r="I1790" i="1"/>
  <c r="I126" i="1"/>
  <c r="I517" i="1"/>
  <c r="I1584" i="1"/>
  <c r="I747" i="1"/>
  <c r="I26" i="1"/>
  <c r="I946" i="1"/>
  <c r="I1621" i="1"/>
  <c r="I339" i="1"/>
  <c r="I816" i="1"/>
  <c r="I850" i="1"/>
  <c r="I1878" i="1"/>
  <c r="I1550" i="1"/>
  <c r="I550" i="1"/>
  <c r="I1508" i="1"/>
  <c r="I778" i="1"/>
  <c r="I1883" i="1"/>
  <c r="I1361" i="1"/>
  <c r="I1997" i="1"/>
  <c r="I203" i="1"/>
  <c r="I1736" i="1"/>
  <c r="I1886" i="1"/>
  <c r="I1698" i="1"/>
  <c r="I636" i="1"/>
  <c r="I1496" i="1"/>
  <c r="I1677" i="1"/>
  <c r="I1442" i="1"/>
  <c r="I634" i="1"/>
  <c r="I477" i="1"/>
  <c r="I135" i="1"/>
  <c r="I1439" i="1"/>
  <c r="I658" i="1"/>
  <c r="I1142" i="1"/>
  <c r="I1431" i="1"/>
  <c r="I906" i="1"/>
  <c r="I400" i="1"/>
  <c r="I1667" i="1"/>
  <c r="I396" i="1"/>
  <c r="I726" i="1"/>
  <c r="I282" i="1"/>
  <c r="I724" i="1"/>
  <c r="I1587" i="1"/>
  <c r="I1101" i="1"/>
  <c r="I1858" i="1"/>
  <c r="I1368" i="1"/>
  <c r="I609" i="1"/>
  <c r="I869" i="1"/>
  <c r="I158" i="1"/>
  <c r="I565" i="1"/>
  <c r="I675" i="1"/>
  <c r="I976" i="1"/>
  <c r="I1267" i="1"/>
  <c r="I754" i="1"/>
  <c r="I183" i="1"/>
  <c r="I934" i="1"/>
  <c r="I1708" i="1"/>
  <c r="I1988" i="1"/>
  <c r="I1244" i="1"/>
  <c r="I106" i="1"/>
  <c r="I833" i="1"/>
  <c r="I388" i="1"/>
  <c r="I633" i="1"/>
  <c r="I1539" i="1"/>
  <c r="I625" i="1"/>
  <c r="I1700" i="1"/>
  <c r="I88" i="1"/>
  <c r="I1060" i="1"/>
  <c r="I1835" i="1"/>
  <c r="I1982" i="1"/>
  <c r="I1718" i="1"/>
  <c r="I1272" i="1"/>
  <c r="I1888" i="1"/>
  <c r="I1271" i="1"/>
  <c r="I487" i="1"/>
  <c r="I1703" i="1"/>
  <c r="I1586" i="1"/>
  <c r="I580" i="1"/>
  <c r="I1318" i="1"/>
  <c r="I839" i="1"/>
  <c r="I1704" i="1"/>
  <c r="I1570" i="1"/>
  <c r="I326" i="1"/>
  <c r="I844" i="1"/>
  <c r="I1168" i="1"/>
  <c r="I1900" i="1"/>
  <c r="I1340" i="1"/>
  <c r="I835" i="1"/>
  <c r="I8" i="1"/>
  <c r="I879" i="1"/>
  <c r="I84" i="1"/>
  <c r="I235" i="1"/>
  <c r="I805" i="1"/>
  <c r="I1912" i="1"/>
  <c r="I309" i="1"/>
  <c r="I1600" i="1"/>
  <c r="I1008" i="1"/>
  <c r="I1524" i="1"/>
  <c r="I430" i="1"/>
  <c r="I226" i="1"/>
  <c r="I1320" i="1"/>
  <c r="I1049" i="1"/>
  <c r="I649" i="1"/>
  <c r="I1609" i="1"/>
  <c r="I526" i="1"/>
  <c r="I1954" i="1"/>
  <c r="I1038" i="1"/>
  <c r="I1474" i="1"/>
  <c r="I1830" i="1"/>
  <c r="I1145" i="1"/>
  <c r="I1735" i="1"/>
  <c r="I97" i="1"/>
  <c r="I227" i="1"/>
  <c r="I1485" i="1"/>
  <c r="I206" i="1"/>
  <c r="I892" i="1"/>
  <c r="I1243" i="1"/>
  <c r="I1362" i="1"/>
  <c r="I807" i="1"/>
  <c r="I128" i="1"/>
  <c r="I591" i="1"/>
  <c r="I1233" i="1"/>
  <c r="I771" i="1"/>
  <c r="I862" i="1"/>
  <c r="I1422" i="1"/>
  <c r="I231" i="1"/>
  <c r="I656" i="1"/>
  <c r="I1899" i="1"/>
  <c r="I160" i="1"/>
  <c r="I422" i="1"/>
  <c r="I957" i="1"/>
  <c r="I81" i="1"/>
  <c r="I998" i="1"/>
  <c r="I439" i="1"/>
  <c r="I607" i="1"/>
  <c r="I1991" i="1"/>
  <c r="I479" i="1"/>
  <c r="I288" i="1"/>
  <c r="I556" i="1"/>
  <c r="I1750" i="1"/>
  <c r="I1865" i="1"/>
  <c r="I1037" i="1"/>
  <c r="I1638" i="1"/>
  <c r="I619" i="1"/>
  <c r="I932" i="1"/>
  <c r="I102" i="1"/>
  <c r="I661" i="1"/>
  <c r="I423" i="1"/>
  <c r="I578" i="1"/>
  <c r="I244" i="1"/>
  <c r="I821" i="1"/>
  <c r="I775" i="1"/>
  <c r="I846" i="1"/>
  <c r="I1021" i="1"/>
  <c r="I1671" i="1"/>
  <c r="I1941" i="1"/>
  <c r="I1065" i="1"/>
  <c r="I229" i="1"/>
  <c r="I179" i="1"/>
  <c r="I1475" i="1"/>
  <c r="I1356" i="1"/>
  <c r="I883" i="1"/>
  <c r="I1594" i="1"/>
  <c r="I105" i="1"/>
  <c r="I872" i="1"/>
  <c r="I162" i="1"/>
  <c r="I1259" i="1"/>
  <c r="I1711" i="1"/>
  <c r="I552" i="1"/>
  <c r="I763" i="1"/>
  <c r="I746" i="1"/>
  <c r="I1149" i="1"/>
  <c r="I968" i="1"/>
  <c r="I711" i="1"/>
  <c r="I96" i="1"/>
  <c r="I251" i="1"/>
  <c r="I142" i="1"/>
  <c r="I1672" i="1"/>
  <c r="I1180" i="1"/>
  <c r="I1183" i="1"/>
  <c r="I1374" i="1"/>
  <c r="I1121" i="1"/>
  <c r="I608" i="1"/>
  <c r="I394" i="1"/>
  <c r="I1633" i="1"/>
  <c r="I1766" i="1"/>
  <c r="I632" i="1"/>
  <c r="I1972" i="1"/>
  <c r="I1864" i="1"/>
  <c r="I1712" i="1"/>
  <c r="I1977" i="1"/>
  <c r="I118" i="1"/>
  <c r="I1459" i="1"/>
  <c r="I670" i="1"/>
  <c r="I774" i="1"/>
  <c r="I832" i="1"/>
  <c r="I1109" i="1"/>
  <c r="I279" i="1"/>
  <c r="I266" i="1"/>
  <c r="I481" i="1"/>
  <c r="I471" i="1"/>
  <c r="I937" i="1"/>
  <c r="I663" i="1"/>
  <c r="I261" i="1"/>
  <c r="I1297" i="1"/>
  <c r="I648" i="1"/>
  <c r="I1344" i="1"/>
  <c r="I991" i="1"/>
  <c r="I1456" i="1"/>
  <c r="I894" i="1"/>
  <c r="I1799" i="1"/>
  <c r="I1844" i="1"/>
  <c r="I1426" i="1"/>
  <c r="I1706" i="1"/>
  <c r="I829" i="1"/>
  <c r="I320" i="1"/>
  <c r="I1005" i="1"/>
  <c r="I1690" i="1"/>
  <c r="I1336" i="1"/>
  <c r="I808" i="1"/>
  <c r="I510" i="1"/>
  <c r="I1823" i="1"/>
  <c r="I1147" i="1"/>
  <c r="I426" i="1"/>
  <c r="I1227" i="1"/>
  <c r="I167" i="1"/>
  <c r="I1794" i="1"/>
  <c r="I107" i="1"/>
  <c r="I681" i="1"/>
  <c r="I651" i="1"/>
  <c r="I1654" i="1"/>
  <c r="I1502" i="1"/>
  <c r="I2000" i="1"/>
  <c r="I921" i="1"/>
  <c r="I572" i="1"/>
  <c r="I1413" i="1"/>
  <c r="I1125" i="1"/>
  <c r="I1952" i="1"/>
  <c r="I1451" i="1"/>
  <c r="I1258" i="1"/>
  <c r="I337" i="1"/>
  <c r="I1811" i="1"/>
  <c r="I478" i="1"/>
  <c r="I1659" i="1"/>
  <c r="I1134" i="1"/>
  <c r="I214" i="1"/>
  <c r="I130" i="1"/>
  <c r="I864" i="1"/>
  <c r="I1151" i="1"/>
  <c r="I617" i="1"/>
  <c r="I33" i="1"/>
  <c r="I1146" i="1"/>
  <c r="I103" i="1"/>
  <c r="I1018" i="1"/>
  <c r="I201" i="1"/>
  <c r="I544" i="1"/>
  <c r="I379" i="1"/>
  <c r="I1355" i="1"/>
  <c r="I1427" i="1"/>
  <c r="I710" i="1"/>
  <c r="I1069" i="1"/>
  <c r="I811" i="1"/>
  <c r="I205" i="1"/>
  <c r="I1560" i="1"/>
  <c r="I1465" i="1"/>
  <c r="I1892" i="1"/>
  <c r="I1034" i="1"/>
  <c r="I40" i="1"/>
  <c r="I768" i="1"/>
  <c r="I1014" i="1"/>
  <c r="I210" i="1"/>
  <c r="I1642" i="1"/>
  <c r="I272" i="1"/>
  <c r="I295" i="1"/>
  <c r="I1363" i="1"/>
  <c r="I460" i="1"/>
  <c r="I457" i="1"/>
  <c r="I638" i="1"/>
  <c r="I267" i="1"/>
  <c r="I949" i="1"/>
  <c r="I1861" i="1"/>
  <c r="H1705" i="1"/>
  <c r="H322" i="1"/>
  <c r="H1604" i="1"/>
  <c r="H1088" i="1"/>
  <c r="H45" i="1"/>
  <c r="H397" i="1"/>
  <c r="H382" i="1"/>
  <c r="H1010" i="1"/>
  <c r="H1406" i="1"/>
  <c r="H561" i="1"/>
  <c r="H1174" i="1"/>
  <c r="H1438" i="1"/>
  <c r="H1122" i="1"/>
  <c r="H1248" i="1"/>
  <c r="H799" i="1"/>
  <c r="H108" i="1"/>
  <c r="H1947" i="1"/>
  <c r="H1236" i="1"/>
  <c r="H1674" i="1"/>
  <c r="H1851" i="1"/>
  <c r="H1000" i="1"/>
  <c r="H1527" i="1"/>
  <c r="H216" i="1"/>
  <c r="H1695" i="1"/>
  <c r="H701" i="1"/>
  <c r="H904" i="1"/>
  <c r="H548" i="1"/>
  <c r="H788" i="1"/>
  <c r="H297" i="1"/>
  <c r="H878" i="1"/>
  <c r="H880" i="1"/>
  <c r="H901" i="1"/>
  <c r="H1115" i="1"/>
  <c r="H343" i="1"/>
  <c r="H1167" i="1"/>
  <c r="H1867" i="1"/>
  <c r="H1577" i="1"/>
  <c r="H1048" i="1"/>
  <c r="H867" i="1"/>
  <c r="H1073" i="1"/>
  <c r="H265" i="1"/>
  <c r="H1759" i="1"/>
  <c r="H1234" i="1"/>
  <c r="H1572" i="1"/>
  <c r="H1964" i="1"/>
  <c r="H1564" i="1"/>
  <c r="H612" i="1"/>
  <c r="H697" i="1"/>
  <c r="H1460" i="1"/>
  <c r="H492" i="1"/>
  <c r="H1722" i="1"/>
  <c r="H412" i="1"/>
  <c r="H1826" i="1"/>
  <c r="H859" i="1"/>
  <c r="H933" i="1"/>
  <c r="H170" i="1"/>
  <c r="H1488" i="1"/>
  <c r="H645" i="1"/>
  <c r="H30" i="1"/>
  <c r="H44" i="1"/>
  <c r="H174" i="1"/>
  <c r="H1090" i="1"/>
  <c r="H969" i="1"/>
  <c r="H955" i="1"/>
  <c r="H318" i="1"/>
  <c r="H1412" i="1"/>
  <c r="H258" i="1"/>
  <c r="H252" i="1"/>
  <c r="H1691" i="1"/>
  <c r="H1755" i="1"/>
  <c r="H113" i="1"/>
  <c r="H1679" i="1"/>
  <c r="H1546" i="1"/>
  <c r="H469" i="1"/>
  <c r="H1559" i="1"/>
  <c r="H250" i="1"/>
  <c r="H350" i="1"/>
  <c r="H577" i="1"/>
  <c r="H574" i="1"/>
  <c r="H23" i="1"/>
  <c r="H539" i="1"/>
  <c r="H511" i="1"/>
  <c r="H758" i="1"/>
  <c r="H1512" i="1"/>
  <c r="H1498" i="1"/>
  <c r="H385" i="1"/>
  <c r="H1305" i="1"/>
  <c r="H1606" i="1"/>
  <c r="H1953" i="1"/>
  <c r="H1932" i="1"/>
  <c r="H1802" i="1"/>
  <c r="H1902" i="1"/>
  <c r="H1209" i="1"/>
  <c r="H666" i="1"/>
  <c r="H1367" i="1"/>
  <c r="H1797" i="1"/>
  <c r="H1632" i="1"/>
  <c r="H1447" i="1"/>
  <c r="H1076" i="1"/>
  <c r="H185" i="1"/>
  <c r="H1822" i="1"/>
  <c r="H237" i="1"/>
  <c r="H1324" i="1"/>
  <c r="H16" i="1"/>
  <c r="H1290" i="1"/>
  <c r="H1890" i="1"/>
  <c r="H830" i="1"/>
  <c r="H977" i="1"/>
  <c r="H1138" i="1"/>
  <c r="H741" i="1"/>
  <c r="H1665" i="1"/>
  <c r="H122" i="1"/>
  <c r="H1798" i="1"/>
  <c r="H83" i="1"/>
  <c r="H1277" i="1"/>
  <c r="H301" i="1"/>
  <c r="H953" i="1"/>
  <c r="H909" i="1"/>
  <c r="H1845" i="1"/>
  <c r="H972" i="1"/>
  <c r="H699" i="1"/>
  <c r="H695" i="1"/>
  <c r="H1618" i="1"/>
  <c r="H354" i="1"/>
  <c r="H762" i="1"/>
  <c r="H1323" i="1"/>
  <c r="H232" i="1"/>
  <c r="H441" i="1"/>
  <c r="H536" i="1"/>
  <c r="H1838" i="1"/>
  <c r="H1370" i="1"/>
  <c r="H1398" i="1"/>
  <c r="H1232" i="1"/>
  <c r="H1481" i="1"/>
  <c r="H855" i="1"/>
  <c r="H1043" i="1"/>
  <c r="H48" i="1"/>
  <c r="H1544" i="1"/>
  <c r="H1669" i="1"/>
  <c r="H562" i="1"/>
  <c r="H155" i="1"/>
  <c r="H1666" i="1"/>
  <c r="H62" i="1"/>
  <c r="H1942" i="1"/>
  <c r="H1543" i="1"/>
  <c r="H1507" i="1"/>
  <c r="H1389" i="1"/>
  <c r="H247" i="1"/>
  <c r="H889" i="1"/>
  <c r="H79" i="1"/>
  <c r="H1100" i="1"/>
  <c r="H1615" i="1"/>
  <c r="H459" i="1"/>
  <c r="H1139" i="1"/>
  <c r="H1841" i="1"/>
  <c r="H641" i="1"/>
  <c r="H1500" i="1"/>
  <c r="H1796" i="1"/>
  <c r="H1563" i="1"/>
  <c r="H1204" i="1"/>
  <c r="H1354" i="1"/>
  <c r="H1709" i="1"/>
  <c r="H1795" i="1"/>
  <c r="H1634" i="1"/>
  <c r="H333" i="1"/>
  <c r="H1962" i="1"/>
  <c r="H129" i="1"/>
  <c r="H856" i="1"/>
  <c r="H967" i="1"/>
  <c r="H1478" i="1"/>
  <c r="H1693" i="1"/>
  <c r="H112" i="1"/>
  <c r="H720" i="1"/>
  <c r="H1056" i="1"/>
  <c r="H1268" i="1"/>
  <c r="H721" i="1"/>
  <c r="H116" i="1"/>
  <c r="H557" i="1"/>
  <c r="H1086" i="1"/>
  <c r="H1641" i="1"/>
  <c r="H1364" i="1"/>
  <c r="H947" i="1"/>
  <c r="H858" i="1"/>
  <c r="H1620" i="1"/>
  <c r="H1777" i="1"/>
  <c r="H1670" i="1"/>
  <c r="H1984" i="1"/>
  <c r="H1595" i="1"/>
  <c r="H73" i="1"/>
  <c r="H363" i="1"/>
  <c r="H1012" i="1"/>
  <c r="H1530" i="1"/>
  <c r="H750" i="1"/>
  <c r="H1904" i="1"/>
  <c r="H1316" i="1"/>
  <c r="H1187" i="1"/>
  <c r="H1195" i="1"/>
  <c r="H1326" i="1"/>
  <c r="H914" i="1"/>
  <c r="H470" i="1"/>
  <c r="H1970" i="1"/>
  <c r="H1172" i="1"/>
  <c r="H1907" i="1"/>
  <c r="H484" i="1"/>
  <c r="H753" i="1"/>
  <c r="H1487" i="1"/>
  <c r="H463" i="1"/>
  <c r="H77" i="1"/>
  <c r="H152" i="1"/>
  <c r="H1472" i="1"/>
  <c r="H387" i="1"/>
  <c r="H533" i="1"/>
  <c r="H1360" i="1"/>
  <c r="H1203" i="1"/>
  <c r="H34" i="1"/>
  <c r="H1036" i="1"/>
  <c r="H863" i="1"/>
  <c r="H604" i="1"/>
  <c r="H193" i="1"/>
  <c r="H707" i="1"/>
  <c r="H1774" i="1"/>
  <c r="H1561" i="1"/>
  <c r="H984" i="1"/>
  <c r="H1540" i="1"/>
  <c r="H1806" i="1"/>
  <c r="H449" i="1"/>
  <c r="H269" i="1"/>
  <c r="H217" i="1"/>
  <c r="H488" i="1"/>
  <c r="H672" i="1"/>
  <c r="H1636" i="1"/>
  <c r="H1832" i="1"/>
  <c r="H899" i="1"/>
  <c r="H230" i="1"/>
  <c r="H1191" i="1"/>
  <c r="H370" i="1"/>
  <c r="H419" i="1"/>
  <c r="H543" i="1"/>
  <c r="H993" i="1"/>
  <c r="H446" i="1"/>
  <c r="H1207" i="1"/>
  <c r="H458" i="1"/>
  <c r="H351" i="1"/>
  <c r="H159" i="1"/>
  <c r="H1063" i="1"/>
  <c r="H1863" i="1"/>
  <c r="H1805" i="1"/>
  <c r="H682" i="1"/>
  <c r="H21" i="1"/>
  <c r="H9" i="1"/>
  <c r="H254" i="1"/>
  <c r="H1583" i="1"/>
  <c r="H628" i="1"/>
  <c r="H1967" i="1"/>
  <c r="H897" i="1"/>
  <c r="H644" i="1"/>
  <c r="H1960" i="1"/>
  <c r="H1152" i="1"/>
  <c r="H545" i="1"/>
  <c r="H639" i="1"/>
  <c r="H273" i="1"/>
  <c r="H1597" i="1"/>
  <c r="H673" i="1"/>
  <c r="H1829" i="1"/>
  <c r="H1775" i="1"/>
  <c r="H1662" i="1"/>
  <c r="H14" i="1"/>
  <c r="H1622" i="1"/>
  <c r="H509" i="1"/>
  <c r="H1816" i="1"/>
  <c r="H1833" i="1"/>
  <c r="H1325" i="1"/>
  <c r="H1385" i="1"/>
  <c r="H7" i="1"/>
  <c r="H1624" i="1"/>
  <c r="H1976" i="1"/>
  <c r="H271" i="1"/>
  <c r="H1175" i="1"/>
  <c r="H1925" i="1"/>
  <c r="H1229" i="1"/>
  <c r="H56" i="1"/>
  <c r="H367" i="1"/>
  <c r="H1650" i="1"/>
  <c r="H603" i="1"/>
  <c r="H359" i="1"/>
  <c r="H392" i="1"/>
  <c r="H540" i="1"/>
  <c r="H1276" i="1"/>
  <c r="H1648" i="1"/>
  <c r="H1338" i="1"/>
  <c r="H596" i="1"/>
  <c r="H212" i="1"/>
  <c r="H735" i="1"/>
  <c r="H1628" i="1"/>
  <c r="H1969" i="1"/>
  <c r="H189" i="1"/>
  <c r="H668" i="1"/>
  <c r="H1580" i="1"/>
  <c r="H1015" i="1"/>
  <c r="H825" i="1"/>
  <c r="H331" i="1"/>
  <c r="H1751" i="1"/>
  <c r="H986" i="1"/>
  <c r="H1216" i="1"/>
  <c r="H643" i="1"/>
  <c r="H1486" i="1"/>
  <c r="H198" i="1"/>
  <c r="H553" i="1"/>
  <c r="H1192" i="1"/>
  <c r="H1414" i="1"/>
  <c r="H43" i="1"/>
  <c r="H437" i="1"/>
  <c r="H1531" i="1"/>
  <c r="H1424" i="1"/>
  <c r="H1675" i="1"/>
  <c r="H652" i="1"/>
  <c r="H508" i="1"/>
  <c r="H418" i="1"/>
  <c r="H384" i="1"/>
  <c r="H281" i="1"/>
  <c r="H1154" i="1"/>
  <c r="H338" i="1"/>
  <c r="H401" i="1"/>
  <c r="H954" i="1"/>
  <c r="H1657" i="1"/>
  <c r="H307" i="1"/>
  <c r="H549" i="1"/>
  <c r="H962" i="1"/>
  <c r="H790" i="1"/>
  <c r="H1567" i="1"/>
  <c r="H737" i="1"/>
  <c r="H1788" i="1"/>
  <c r="H760" i="1"/>
  <c r="H876" i="1"/>
  <c r="H1217" i="1"/>
  <c r="H249" i="1"/>
  <c r="H766" i="1"/>
  <c r="H822" i="1"/>
  <c r="H1820" i="1"/>
  <c r="H1685" i="1"/>
  <c r="H1995" i="1"/>
  <c r="H278" i="1"/>
  <c r="H1894" i="1"/>
  <c r="H1752" i="1"/>
  <c r="H1768" i="1"/>
  <c r="H409" i="1"/>
  <c r="H1210" i="1"/>
  <c r="H524" i="1"/>
  <c r="H383" i="1"/>
  <c r="H1656" i="1"/>
  <c r="H997" i="1"/>
  <c r="H1702" i="1"/>
  <c r="H427" i="1"/>
  <c r="H818" i="1"/>
  <c r="H1352" i="1"/>
  <c r="H706" i="1"/>
  <c r="H529" i="1"/>
  <c r="H1611" i="1"/>
  <c r="H1105" i="1"/>
  <c r="H1719" i="1"/>
  <c r="H172" i="1"/>
  <c r="H907" i="1"/>
  <c r="H1082" i="1"/>
  <c r="H659" i="1"/>
  <c r="H1165" i="1"/>
  <c r="H182" i="1"/>
  <c r="H501" i="1"/>
  <c r="H1946" i="1"/>
  <c r="H827" i="1"/>
  <c r="H679" i="1"/>
  <c r="H1252" i="1"/>
  <c r="H413" i="1"/>
  <c r="H1926" i="1"/>
  <c r="H110" i="1"/>
  <c r="H715" i="1"/>
  <c r="H1296" i="1"/>
  <c r="H725" i="1"/>
  <c r="H684" i="1"/>
  <c r="H434" i="1"/>
  <c r="H1081" i="1"/>
  <c r="H109" i="1"/>
  <c r="H1917" i="1"/>
  <c r="H1078" i="1"/>
  <c r="H1968" i="1"/>
  <c r="H1764" i="1"/>
  <c r="H233" i="1"/>
  <c r="H1714" i="1"/>
  <c r="H164" i="1"/>
  <c r="H1843" i="1"/>
  <c r="H369" i="1"/>
  <c r="H1810" i="1"/>
  <c r="H1245" i="1"/>
  <c r="H1194" i="1"/>
  <c r="H1573" i="1"/>
  <c r="H1501" i="1"/>
  <c r="H393" i="1"/>
  <c r="H981" i="1"/>
  <c r="H1219" i="1"/>
  <c r="H1170" i="1"/>
  <c r="H731" i="1"/>
  <c r="H1776" i="1"/>
  <c r="H1658" i="1"/>
  <c r="H1635" i="1"/>
  <c r="H138" i="1"/>
  <c r="H1631" i="1"/>
  <c r="H316" i="1"/>
  <c r="H1046" i="1"/>
  <c r="H1598" i="1"/>
  <c r="H184" i="1"/>
  <c r="H1184" i="1"/>
  <c r="H1114" i="1"/>
  <c r="H1985" i="1"/>
  <c r="H1405" i="1"/>
  <c r="H386" i="1"/>
  <c r="H35" i="1"/>
  <c r="H756" i="1"/>
  <c r="H1545" i="1"/>
  <c r="H90" i="1"/>
  <c r="H1002" i="1"/>
  <c r="H374" i="1"/>
  <c r="H1758" i="1"/>
  <c r="H714" i="1"/>
  <c r="H2" i="1"/>
  <c r="H1311" i="1"/>
  <c r="H1230" i="1"/>
  <c r="H865" i="1"/>
  <c r="H86" i="1"/>
  <c r="H576" i="1"/>
  <c r="H621" i="1"/>
  <c r="H527" i="1"/>
  <c r="H1951" i="1"/>
  <c r="H1848" i="1"/>
  <c r="H1927" i="1"/>
  <c r="H1661" i="1"/>
  <c r="H1645" i="1"/>
  <c r="H483" i="1"/>
  <c r="H1803" i="1"/>
  <c r="H1975" i="1"/>
  <c r="H440" i="1"/>
  <c r="H1990" i="1"/>
  <c r="H1066" i="1"/>
  <c r="H888" i="1"/>
  <c r="H1099" i="1"/>
  <c r="H1067" i="1"/>
  <c r="H1189" i="1"/>
  <c r="H239" i="1"/>
  <c r="H789" i="1"/>
  <c r="H611" i="1"/>
  <c r="H313" i="1"/>
  <c r="H890" i="1"/>
  <c r="H368" i="1"/>
  <c r="H1945" i="1"/>
  <c r="H1108" i="1"/>
  <c r="H836" i="1"/>
  <c r="H945" i="1"/>
  <c r="H506" i="1"/>
  <c r="H990" i="1"/>
  <c r="H665" i="1"/>
  <c r="H1596" i="1"/>
  <c r="H1637" i="1"/>
  <c r="H1837" i="1"/>
  <c r="H93" i="1"/>
  <c r="H1410" i="1"/>
  <c r="H791" i="1"/>
  <c r="H1177" i="1"/>
  <c r="H1468" i="1"/>
  <c r="H1009" i="1"/>
  <c r="H1676" i="1"/>
  <c r="H1409" i="1"/>
  <c r="H1827" i="1"/>
  <c r="H1919" i="1"/>
  <c r="H1019" i="1"/>
  <c r="H1769" i="1"/>
  <c r="H504" i="1"/>
  <c r="H1300" i="1"/>
  <c r="H1879" i="1"/>
  <c r="H970" i="1"/>
  <c r="H1772" i="1"/>
  <c r="H1639" i="1"/>
  <c r="H1103" i="1"/>
  <c r="H361" i="1"/>
  <c r="H1943" i="1"/>
  <c r="H635" i="1"/>
  <c r="H1828" i="1"/>
  <c r="H150" i="1"/>
  <c r="H1310" i="1"/>
  <c r="H1445" i="1"/>
  <c r="H104" i="1"/>
  <c r="H664" i="1"/>
  <c r="H186" i="1"/>
  <c r="H1610" i="1"/>
  <c r="H1493" i="1"/>
  <c r="H742" i="1"/>
  <c r="H336" i="1"/>
  <c r="H262" i="1"/>
  <c r="H843" i="1"/>
  <c r="H1254" i="1"/>
  <c r="H662" i="1"/>
  <c r="H622" i="1"/>
  <c r="H362" i="1"/>
  <c r="H1889" i="1"/>
  <c r="H475" i="1"/>
  <c r="H1792" i="1"/>
  <c r="H558" i="1"/>
  <c r="H803" i="1"/>
  <c r="H559" i="1"/>
  <c r="H1576" i="1"/>
  <c r="H1520" i="1"/>
  <c r="H1423" i="1"/>
  <c r="H163" i="1"/>
  <c r="H1682" i="1"/>
  <c r="H618" i="1"/>
  <c r="H416" i="1"/>
  <c r="H1452" i="1"/>
  <c r="H935" i="1"/>
  <c r="H11" i="1"/>
  <c r="H777" i="1"/>
  <c r="H772" i="1"/>
  <c r="H547" i="1"/>
  <c r="H1022" i="1"/>
  <c r="H784" i="1"/>
  <c r="H1737" i="1"/>
  <c r="H1489" i="1"/>
  <c r="H1430" i="1"/>
  <c r="H1542" i="1"/>
  <c r="H12" i="1"/>
  <c r="H1503" i="1"/>
  <c r="H1030" i="1"/>
  <c r="H1247" i="1"/>
  <c r="H1155" i="1"/>
  <c r="H213" i="1"/>
  <c r="H1866" i="1"/>
  <c r="H922" i="1"/>
  <c r="H219" i="1"/>
  <c r="H72" i="1"/>
  <c r="H1072" i="1"/>
  <c r="H82" i="1"/>
  <c r="H428" i="1"/>
  <c r="H1881" i="1"/>
  <c r="H1119" i="1"/>
  <c r="H606" i="1"/>
  <c r="H1391" i="1"/>
  <c r="H329" i="1"/>
  <c r="H595" i="1"/>
  <c r="H1347" i="1"/>
  <c r="H149" i="1"/>
  <c r="H943" i="1"/>
  <c r="H1780" i="1"/>
  <c r="H1874" i="1"/>
  <c r="H1024" i="1"/>
  <c r="H650" i="1"/>
  <c r="H1870" i="1"/>
  <c r="H1782" i="1"/>
  <c r="H366" i="1"/>
  <c r="H1922" i="1"/>
  <c r="H1959" i="1"/>
  <c r="H1731" i="1"/>
  <c r="H1664" i="1"/>
  <c r="H871" i="1"/>
  <c r="H1094" i="1"/>
  <c r="H1462" i="1"/>
  <c r="H988" i="1"/>
  <c r="H124" i="1"/>
  <c r="H730" i="1"/>
  <c r="H573" i="1"/>
  <c r="H1739" i="1"/>
  <c r="H1891" i="1"/>
  <c r="H961" i="1"/>
  <c r="H1371" i="1"/>
  <c r="H197" i="1"/>
  <c r="H1599" i="1"/>
  <c r="H277" i="1"/>
  <c r="H1554" i="1"/>
  <c r="H831" i="1"/>
  <c r="H1265" i="1"/>
  <c r="H1779" i="1"/>
  <c r="H903" i="1"/>
  <c r="H582" i="1"/>
  <c r="H1996" i="1"/>
  <c r="H1538" i="1"/>
  <c r="H1284" i="1"/>
  <c r="H1884" i="1"/>
  <c r="H534" i="1"/>
  <c r="H161" i="1"/>
  <c r="H1345" i="1"/>
  <c r="H42" i="1"/>
  <c r="H570" i="1"/>
  <c r="H92" i="1"/>
  <c r="H900" i="1"/>
  <c r="H61" i="1"/>
  <c r="H1807" i="1"/>
  <c r="H1551" i="1"/>
  <c r="H911" i="1"/>
  <c r="H927" i="1"/>
  <c r="H1931" i="1"/>
  <c r="H1044" i="1"/>
  <c r="H776" i="1"/>
  <c r="H1315" i="1"/>
  <c r="H512" i="1"/>
  <c r="H140" i="1"/>
  <c r="H926" i="1"/>
  <c r="H494" i="1"/>
  <c r="H78" i="1"/>
  <c r="H1400" i="1"/>
  <c r="H1683" i="1"/>
  <c r="H1733" i="1"/>
  <c r="H1387" i="1"/>
  <c r="H389" i="1"/>
  <c r="H793" i="1"/>
  <c r="H787" i="1"/>
  <c r="H597" i="1"/>
  <c r="H690" i="1"/>
  <c r="H1302" i="1"/>
  <c r="H1727" i="1"/>
  <c r="H1260" i="1"/>
  <c r="H123" i="1"/>
  <c r="H406" i="1"/>
  <c r="H432" i="1"/>
  <c r="H1668" i="1"/>
  <c r="H1526" i="1"/>
  <c r="H1908" i="1"/>
  <c r="H1936" i="1"/>
  <c r="H480" i="1"/>
  <c r="H1785" i="1"/>
  <c r="H875" i="1"/>
  <c r="H1033" i="1"/>
  <c r="H732" i="1"/>
  <c r="H655" i="1"/>
  <c r="H1011" i="1"/>
  <c r="H583" i="1"/>
  <c r="H290" i="1"/>
  <c r="H1376" i="1"/>
  <c r="H769" i="1"/>
  <c r="H289" i="1"/>
  <c r="H913" i="1"/>
  <c r="H845" i="1"/>
  <c r="H1251" i="1"/>
  <c r="H1366" i="1"/>
  <c r="H1208" i="1"/>
  <c r="H53" i="1"/>
  <c r="H1270" i="1"/>
  <c r="H505" i="1"/>
  <c r="H464" i="1"/>
  <c r="H994" i="1"/>
  <c r="H1171" i="1"/>
  <c r="H1846" i="1"/>
  <c r="H802" i="1"/>
  <c r="H67" i="1"/>
  <c r="H694" i="1"/>
  <c r="H1255" i="1"/>
  <c r="H402" i="1"/>
  <c r="H209" i="1"/>
  <c r="H1809" i="1"/>
  <c r="H1743" i="1"/>
  <c r="H1201" i="1"/>
  <c r="H936" i="1"/>
  <c r="H1513" i="1"/>
  <c r="H502" i="1"/>
  <c r="H59" i="1"/>
  <c r="H1760" i="1"/>
  <c r="H620" i="1"/>
  <c r="H1331" i="1"/>
  <c r="H530" i="1"/>
  <c r="H1185" i="1"/>
  <c r="H421" i="1"/>
  <c r="H1091" i="1"/>
  <c r="H1678" i="1"/>
  <c r="H1721" i="1"/>
  <c r="H546" i="1"/>
  <c r="H767" i="1"/>
  <c r="H1929" i="1"/>
  <c r="H1188" i="1"/>
  <c r="H1534" i="1"/>
  <c r="H1080" i="1"/>
  <c r="H431" i="1"/>
  <c r="H1817" i="1"/>
  <c r="H347" i="1"/>
  <c r="H391" i="1"/>
  <c r="H1869" i="1"/>
  <c r="H181" i="1"/>
  <c r="H960" i="1"/>
  <c r="H1303" i="1"/>
  <c r="H924" i="1"/>
  <c r="H575" i="1"/>
  <c r="H157" i="1"/>
  <c r="H1384" i="1"/>
  <c r="H1476" i="1"/>
  <c r="H1133" i="1"/>
  <c r="H905" i="1"/>
  <c r="H143" i="1"/>
  <c r="H356" i="1"/>
  <c r="H1999" i="1"/>
  <c r="H1420" i="1"/>
  <c r="H283" i="1"/>
  <c r="H992" i="1"/>
  <c r="H115" i="1"/>
  <c r="H1396" i="1"/>
  <c r="H1242" i="1"/>
  <c r="H794" i="1"/>
  <c r="H1473" i="1"/>
  <c r="H1518" i="1"/>
  <c r="H1957" i="1"/>
  <c r="H1506" i="1"/>
  <c r="H696" i="1"/>
  <c r="H1222" i="1"/>
  <c r="H70" i="1"/>
  <c r="H1724" i="1"/>
  <c r="H1162" i="1"/>
  <c r="H1557" i="1"/>
  <c r="H685" i="1"/>
  <c r="H1605" i="1"/>
  <c r="H1392" i="1"/>
  <c r="H996" i="1"/>
  <c r="H1107" i="1"/>
  <c r="H1684" i="1"/>
  <c r="H399" i="1"/>
  <c r="H1872" i="1"/>
  <c r="H623" i="1"/>
  <c r="H438" i="1"/>
  <c r="H1510" i="1"/>
  <c r="H144" i="1"/>
  <c r="H823" i="1"/>
  <c r="H1157" i="1"/>
  <c r="H1436" i="1"/>
  <c r="H1966" i="1"/>
  <c r="H895" i="1"/>
  <c r="H599" i="1"/>
  <c r="H785" i="1"/>
  <c r="H1955" i="1"/>
  <c r="H1135" i="1"/>
  <c r="H586" i="1"/>
  <c r="H175" i="1"/>
  <c r="H1256" i="1"/>
  <c r="H1471" i="1"/>
  <c r="H1825" i="1"/>
  <c r="H868" i="1"/>
  <c r="H1253" i="1"/>
  <c r="H435" i="1"/>
  <c r="H698" i="1"/>
  <c r="H1649" i="1"/>
  <c r="H1285" i="1"/>
  <c r="H1836" i="1"/>
  <c r="H319" i="1"/>
  <c r="H593" i="1"/>
  <c r="H579" i="1"/>
  <c r="H637" i="1"/>
  <c r="H1287" i="1"/>
  <c r="H1329" i="1"/>
  <c r="H39" i="1"/>
  <c r="H461" i="1"/>
  <c r="H357" i="1"/>
  <c r="H1317" i="1"/>
  <c r="H54" i="1"/>
  <c r="H1200" i="1"/>
  <c r="H1818" i="1"/>
  <c r="H1681" i="1"/>
  <c r="H1974" i="1"/>
  <c r="H1205" i="1"/>
  <c r="H842" i="1"/>
  <c r="H1765" i="1"/>
  <c r="H918" i="1"/>
  <c r="H208" i="1"/>
  <c r="H1961" i="1"/>
  <c r="H303" i="1"/>
  <c r="H1006" i="1"/>
  <c r="H145" i="1"/>
  <c r="H590" i="1"/>
  <c r="H499" i="1"/>
  <c r="H532" i="1"/>
  <c r="H1411" i="1"/>
  <c r="H1269" i="1"/>
  <c r="H974" i="1"/>
  <c r="H1321" i="1"/>
  <c r="H259" i="1"/>
  <c r="H24" i="1"/>
  <c r="H1578" i="1"/>
  <c r="H405" i="1"/>
  <c r="H1148" i="1"/>
  <c r="H893" i="1"/>
  <c r="H1286" i="1"/>
  <c r="H1517" i="1"/>
  <c r="H1839" i="1"/>
  <c r="H1113" i="1"/>
  <c r="H1308" i="1"/>
  <c r="H1602" i="1"/>
  <c r="H47" i="1"/>
  <c r="H1652" i="1"/>
  <c r="H111" i="1"/>
  <c r="H1035" i="1"/>
  <c r="H669" i="1"/>
  <c r="H630" i="1"/>
  <c r="H467" i="1"/>
  <c r="H1592" i="1"/>
  <c r="H1850" i="1"/>
  <c r="H1463" i="1"/>
  <c r="H1651" i="1"/>
  <c r="H500" i="1"/>
  <c r="H165" i="1"/>
  <c r="H1057" i="1"/>
  <c r="H57" i="1"/>
  <c r="H1283" i="1"/>
  <c r="H538" i="1"/>
  <c r="H1025" i="1"/>
  <c r="H1824" i="1"/>
  <c r="H330" i="1"/>
  <c r="H22" i="1"/>
  <c r="H1415" i="1"/>
  <c r="H287" i="1"/>
  <c r="H32" i="1"/>
  <c r="H1202" i="1"/>
  <c r="H671" i="1"/>
  <c r="H1166" i="1"/>
  <c r="H503" i="1"/>
  <c r="H4" i="1"/>
  <c r="H722" i="1"/>
  <c r="H173" i="1"/>
  <c r="H958" i="1"/>
  <c r="H1333" i="1"/>
  <c r="H462" i="1"/>
  <c r="H1144" i="1"/>
  <c r="H292" i="1"/>
  <c r="H1548" i="1"/>
  <c r="H1640" i="1"/>
  <c r="H1747" i="1"/>
  <c r="H689" i="1"/>
  <c r="H515" i="1"/>
  <c r="H28" i="1"/>
  <c r="H302" i="1"/>
  <c r="H1771" i="1"/>
  <c r="H19" i="1"/>
  <c r="H390" i="1"/>
  <c r="H1261" i="1"/>
  <c r="H365" i="1"/>
  <c r="H1306" i="1"/>
  <c r="H1288" i="1"/>
  <c r="H1986" i="1"/>
  <c r="H554" i="1"/>
  <c r="H1238" i="1"/>
  <c r="H919" i="1"/>
  <c r="H1467" i="1"/>
  <c r="H1763" i="1"/>
  <c r="H1529" i="1"/>
  <c r="H614" i="1"/>
  <c r="H1689" i="1"/>
  <c r="H1176" i="1"/>
  <c r="H941" i="1"/>
  <c r="H1532" i="1"/>
  <c r="H800" i="1"/>
  <c r="H1909" i="1"/>
  <c r="H1085" i="1"/>
  <c r="H950" i="1"/>
  <c r="H1428" i="1"/>
  <c r="H328" i="1"/>
  <c r="H626" i="1"/>
  <c r="H1401" i="1"/>
  <c r="H1314" i="1"/>
  <c r="H1490" i="1"/>
  <c r="H1132" i="1"/>
  <c r="H1161" i="1"/>
  <c r="H1897" i="1"/>
  <c r="H270" i="1"/>
  <c r="H215" i="1"/>
  <c r="H1159" i="1"/>
  <c r="H1223" i="1"/>
  <c r="H1278" i="1"/>
  <c r="H491" i="1"/>
  <c r="H1497" i="1"/>
  <c r="H1407" i="1"/>
  <c r="H1357" i="1"/>
  <c r="H1064" i="1"/>
  <c r="H1429" i="1"/>
  <c r="H1294" i="1"/>
  <c r="H1293" i="1"/>
  <c r="H1885" i="1"/>
  <c r="H274" i="1"/>
  <c r="H1921" i="1"/>
  <c r="H815" i="1"/>
  <c r="H765" i="1"/>
  <c r="H1855" i="1"/>
  <c r="H1612" i="1"/>
  <c r="H1918" i="1"/>
  <c r="H1958" i="1"/>
  <c r="H516" i="1"/>
  <c r="H456" i="1"/>
  <c r="H1275" i="1"/>
  <c r="H834" i="1"/>
  <c r="H1042" i="1"/>
  <c r="H137" i="1"/>
  <c r="H1880" i="1"/>
  <c r="H1717" i="1"/>
  <c r="H1031" i="1"/>
  <c r="H15" i="1"/>
  <c r="H49" i="1"/>
  <c r="H1434" i="1"/>
  <c r="H1993" i="1"/>
  <c r="H966" i="1"/>
  <c r="H877" i="1"/>
  <c r="H1994" i="1"/>
  <c r="H378" i="1"/>
  <c r="H188" i="1"/>
  <c r="H1298" i="1"/>
  <c r="H1516" i="1"/>
  <c r="H601" i="1"/>
  <c r="H1804" i="1"/>
  <c r="H568" i="1"/>
  <c r="H1616" i="1"/>
  <c r="H1740" i="1"/>
  <c r="H902" i="1"/>
  <c r="H1701" i="1"/>
  <c r="H344" i="1"/>
  <c r="H376" i="1"/>
  <c r="H1923" i="1"/>
  <c r="H751" i="1"/>
  <c r="H1930" i="1"/>
  <c r="H1102" i="1"/>
  <c r="H324" i="1"/>
  <c r="H847" i="1"/>
  <c r="H241" i="1"/>
  <c r="H840" i="1"/>
  <c r="H450" i="1"/>
  <c r="H1040" i="1"/>
  <c r="H1519" i="1"/>
  <c r="H1193" i="1"/>
  <c r="H1450" i="1"/>
  <c r="H353" i="1"/>
  <c r="H1720" i="1"/>
  <c r="H884" i="1"/>
  <c r="H600" i="1"/>
  <c r="H965" i="1"/>
  <c r="H1220" i="1"/>
  <c r="H1289" i="1"/>
  <c r="H1981" i="1"/>
  <c r="H349" i="1"/>
  <c r="H465" i="1"/>
  <c r="H1039" i="1"/>
  <c r="H171" i="1"/>
  <c r="H1812" i="1"/>
  <c r="H854" i="1"/>
  <c r="H1978" i="1"/>
  <c r="H1710" i="1"/>
  <c r="H260" i="1"/>
  <c r="H1726" i="1"/>
  <c r="H1819" i="1"/>
  <c r="H236" i="1"/>
  <c r="H74" i="1"/>
  <c r="H1680" i="1"/>
  <c r="H1601" i="1"/>
  <c r="H1949" i="1"/>
  <c r="H1813" i="1"/>
  <c r="H1537" i="1"/>
  <c r="H1249" i="1"/>
  <c r="H916" i="1"/>
  <c r="H1378" i="1"/>
  <c r="H1198" i="1"/>
  <c r="H571" i="1"/>
  <c r="H403" i="1"/>
  <c r="H1686" i="1"/>
  <c r="H507" i="1"/>
  <c r="H151" i="1"/>
  <c r="H1342" i="1"/>
  <c r="H408" i="1"/>
  <c r="H1603" i="1"/>
  <c r="H642" i="1"/>
  <c r="H6" i="1"/>
  <c r="H1380" i="1"/>
  <c r="H1181" i="1"/>
  <c r="H407" i="1"/>
  <c r="H1499" i="1"/>
  <c r="H496" i="1"/>
  <c r="H131" i="1"/>
  <c r="H245" i="1"/>
  <c r="H1052" i="1"/>
  <c r="H657" i="1"/>
  <c r="H1971" i="1"/>
  <c r="H1173" i="1"/>
  <c r="H598" i="1"/>
  <c r="H1084" i="1"/>
  <c r="H1535" i="1"/>
  <c r="H959" i="1"/>
  <c r="H1095" i="1"/>
  <c r="H1179" i="1"/>
  <c r="H371" i="1"/>
  <c r="H1377" i="1"/>
  <c r="H410" i="1"/>
  <c r="H136" i="1"/>
  <c r="H1528" i="1"/>
  <c r="H1699" i="1"/>
  <c r="H321" i="1"/>
  <c r="H1589" i="1"/>
  <c r="H1655" i="1"/>
  <c r="H1054" i="1"/>
  <c r="H1479" i="1"/>
  <c r="H257" i="1"/>
  <c r="H1906" i="1"/>
  <c r="H1565" i="1"/>
  <c r="H66" i="1"/>
  <c r="H192" i="1"/>
  <c r="H1141" i="1"/>
  <c r="H1059" i="1"/>
  <c r="H275" i="1"/>
  <c r="H629" i="1"/>
  <c r="H424" i="1"/>
  <c r="H692" i="1"/>
  <c r="H1877" i="1"/>
  <c r="H1575" i="1"/>
  <c r="H1871" i="1"/>
  <c r="H1231" i="1"/>
  <c r="H646" i="1"/>
  <c r="H849" i="1"/>
  <c r="H341" i="1"/>
  <c r="H1876" i="1"/>
  <c r="H691" i="1"/>
  <c r="H1480" i="1"/>
  <c r="H1697" i="1"/>
  <c r="H881" i="1"/>
  <c r="H58" i="1"/>
  <c r="H1767" i="1"/>
  <c r="H513" i="1"/>
  <c r="H537" i="1"/>
  <c r="H482" i="1"/>
  <c r="H700" i="1"/>
  <c r="H1226" i="1"/>
  <c r="H264" i="1"/>
  <c r="H1417" i="1"/>
  <c r="H1793" i="1"/>
  <c r="H1075" i="1"/>
  <c r="H1494" i="1"/>
  <c r="H69" i="1"/>
  <c r="H1307" i="1"/>
  <c r="H1582" i="1"/>
  <c r="H121" i="1"/>
  <c r="H68" i="1"/>
  <c r="H372" i="1"/>
  <c r="H1393" i="1"/>
  <c r="H1341" i="1"/>
  <c r="H1350" i="1"/>
  <c r="H1312" i="1"/>
  <c r="H963" i="1"/>
  <c r="H381" i="1"/>
  <c r="H452" i="1"/>
  <c r="H1292" i="1"/>
  <c r="H1725" i="1"/>
  <c r="H602" i="1"/>
  <c r="H1713" i="1"/>
  <c r="H1098" i="1"/>
  <c r="H1127" i="1"/>
  <c r="H1854" i="1"/>
  <c r="H89" i="1"/>
  <c r="H1800" i="1"/>
  <c r="H1197" i="1"/>
  <c r="H1859" i="1"/>
  <c r="H1989" i="1"/>
  <c r="H1348" i="1"/>
  <c r="H1814" i="1"/>
  <c r="H1956" i="1"/>
  <c r="H560" i="1"/>
  <c r="H325" i="1"/>
  <c r="H1522" i="1"/>
  <c r="H225" i="1"/>
  <c r="H734" i="1"/>
  <c r="H1334" i="1"/>
  <c r="H1399" i="1"/>
  <c r="H779" i="1"/>
  <c r="H1382" i="1"/>
  <c r="H1003" i="1"/>
  <c r="H792" i="1"/>
  <c r="H1477" i="1"/>
  <c r="H218" i="1"/>
  <c r="H667" i="1"/>
  <c r="H848" i="1"/>
  <c r="H187" i="1"/>
  <c r="H55" i="1"/>
  <c r="H1748" i="1"/>
  <c r="H1280" i="1"/>
  <c r="H1235" i="1"/>
  <c r="H447" i="1"/>
  <c r="H100" i="1"/>
  <c r="H1120" i="1"/>
  <c r="H796" i="1"/>
  <c r="H1153" i="1"/>
  <c r="H1062" i="1"/>
  <c r="H1365" i="1"/>
  <c r="H861" i="1"/>
  <c r="H224" i="1"/>
  <c r="H436" i="1"/>
  <c r="H454" i="1"/>
  <c r="H801" i="1"/>
  <c r="H228" i="1"/>
  <c r="H951" i="1"/>
  <c r="H1630" i="1"/>
  <c r="H65" i="1"/>
  <c r="H1492" i="1"/>
  <c r="H542" i="1"/>
  <c r="H891" i="1"/>
  <c r="H1126" i="1"/>
  <c r="H1381" i="1"/>
  <c r="H1547" i="1"/>
  <c r="H740" i="1"/>
  <c r="H377" i="1"/>
  <c r="H342" i="1"/>
  <c r="H1627" i="1"/>
  <c r="H613" i="1"/>
  <c r="H1211" i="1"/>
  <c r="H1574" i="1"/>
  <c r="H939" i="1"/>
  <c r="H870" i="1"/>
  <c r="H727" i="1"/>
  <c r="H1470" i="1"/>
  <c r="H1403" i="1"/>
  <c r="H964" i="1"/>
  <c r="H1541" i="1"/>
  <c r="H1395" i="1"/>
  <c r="H1464" i="1"/>
  <c r="H882" i="1"/>
  <c r="H528" i="1"/>
  <c r="H1001" i="1"/>
  <c r="H885" i="1"/>
  <c r="H299" i="1"/>
  <c r="H1716" i="1"/>
  <c r="H1013" i="1"/>
  <c r="H798" i="1"/>
  <c r="H345" i="1"/>
  <c r="H280" i="1"/>
  <c r="H708" i="1"/>
  <c r="H1938" i="1"/>
  <c r="H1898" i="1"/>
  <c r="H566" i="1"/>
  <c r="H915" i="1"/>
  <c r="H5" i="1"/>
  <c r="H87" i="1"/>
  <c r="H202" i="1"/>
  <c r="H1893" i="1"/>
  <c r="H1895" i="1"/>
  <c r="H1939" i="1"/>
  <c r="H860" i="1"/>
  <c r="H1444" i="1"/>
  <c r="H873" i="1"/>
  <c r="H1055" i="1"/>
  <c r="H1264" i="1"/>
  <c r="H1425" i="1"/>
  <c r="H584" i="1"/>
  <c r="H1821" i="1"/>
  <c r="H417" i="1"/>
  <c r="H444" i="1"/>
  <c r="H1901" i="1"/>
  <c r="H296" i="1"/>
  <c r="H304" i="1"/>
  <c r="H380" i="1"/>
  <c r="H1418" i="1"/>
  <c r="H433" i="1"/>
  <c r="H286" i="1"/>
  <c r="H704" i="1"/>
  <c r="H1448" i="1"/>
  <c r="H1673" i="1"/>
  <c r="H770" i="1"/>
  <c r="H1313" i="1"/>
  <c r="H294" i="1"/>
  <c r="H1840" i="1"/>
  <c r="H153" i="1"/>
  <c r="H364" i="1"/>
  <c r="H564" i="1"/>
  <c r="H415" i="1"/>
  <c r="H1770" i="1"/>
  <c r="H757" i="1"/>
  <c r="H755" i="1"/>
  <c r="H134" i="1"/>
  <c r="H1092" i="1"/>
  <c r="H404" i="1"/>
  <c r="H1435" i="1"/>
  <c r="H1562" i="1"/>
  <c r="H80" i="1"/>
  <c r="H851" i="1"/>
  <c r="H677" i="1"/>
  <c r="H211" i="1"/>
  <c r="H1483" i="1"/>
  <c r="H1390" i="1"/>
  <c r="H647" i="1"/>
  <c r="H451" i="1"/>
  <c r="H928" i="1"/>
  <c r="H1742" i="1"/>
  <c r="H1987" i="1"/>
  <c r="H474" i="1"/>
  <c r="H117" i="1"/>
  <c r="H1920" i="1"/>
  <c r="H168" i="1"/>
  <c r="H1937" i="1"/>
  <c r="H1136" i="1"/>
  <c r="H1647" i="1"/>
  <c r="H1619" i="1"/>
  <c r="H398" i="1"/>
  <c r="H853" i="1"/>
  <c r="H3" i="1"/>
  <c r="H1455" i="1"/>
  <c r="H1150" i="1"/>
  <c r="H1375" i="1"/>
  <c r="H1749" i="1"/>
  <c r="H1239" i="1"/>
  <c r="H525" i="1"/>
  <c r="H1404" i="1"/>
  <c r="H1130" i="1"/>
  <c r="H1762" i="1"/>
  <c r="H942" i="1"/>
  <c r="H1274" i="1"/>
  <c r="H1980" i="1"/>
  <c r="H1443" i="1"/>
  <c r="H442" i="1"/>
  <c r="H1007" i="1"/>
  <c r="H852" i="1"/>
  <c r="H1579" i="1"/>
  <c r="H1397" i="1"/>
  <c r="H702" i="1"/>
  <c r="H1511" i="1"/>
  <c r="H523" i="1"/>
  <c r="H1164" i="1"/>
  <c r="H1225" i="1"/>
  <c r="H826" i="1"/>
  <c r="H944" i="1"/>
  <c r="H1032" i="1"/>
  <c r="H824" i="1"/>
  <c r="H41" i="1"/>
  <c r="H317" i="1"/>
  <c r="H1761" i="1"/>
  <c r="H728" i="1"/>
  <c r="H1910" i="1"/>
  <c r="H1536" i="1"/>
  <c r="H819" i="1"/>
  <c r="H978" i="1"/>
  <c r="H687" i="1"/>
  <c r="H1169" i="1"/>
  <c r="H567" i="1"/>
  <c r="H1083" i="1"/>
  <c r="H1607" i="1"/>
  <c r="H1591" i="1"/>
  <c r="H1924" i="1"/>
  <c r="H50" i="1"/>
  <c r="H1692" i="1"/>
  <c r="H204" i="1"/>
  <c r="H1213" i="1"/>
  <c r="H1026" i="1"/>
  <c r="H920" i="1"/>
  <c r="H177" i="1"/>
  <c r="H1882" i="1"/>
  <c r="H717" i="1"/>
  <c r="H1349" i="1"/>
  <c r="H1250" i="1"/>
  <c r="H1903" i="1"/>
  <c r="H373" i="1"/>
  <c r="H1301" i="1"/>
  <c r="H1484" i="1"/>
  <c r="H323" i="1"/>
  <c r="H312" i="1"/>
  <c r="H1935" i="1"/>
  <c r="H1097" i="1"/>
  <c r="H1644" i="1"/>
  <c r="H222" i="1"/>
  <c r="H616" i="1"/>
  <c r="H987" i="1"/>
  <c r="H1332" i="1"/>
  <c r="H196" i="1"/>
  <c r="H1240" i="1"/>
  <c r="H1358" i="1"/>
  <c r="H989" i="1"/>
  <c r="H1808" i="1"/>
  <c r="H1402" i="1"/>
  <c r="H723" i="1"/>
  <c r="H207" i="1"/>
  <c r="H1801" i="1"/>
  <c r="H1555" i="1"/>
  <c r="H1028" i="1"/>
  <c r="H221" i="1"/>
  <c r="H1158" i="1"/>
  <c r="H589" i="1"/>
  <c r="H98" i="1"/>
  <c r="H486" i="1"/>
  <c r="H498" i="1"/>
  <c r="H1029" i="1"/>
  <c r="H594" i="1"/>
  <c r="H1786" i="1"/>
  <c r="H1077" i="1"/>
  <c r="H1093" i="1"/>
  <c r="H154" i="1"/>
  <c r="H729" i="1"/>
  <c r="H1373" i="1"/>
  <c r="H1738" i="1"/>
  <c r="H985" i="1"/>
  <c r="H1328" i="1"/>
  <c r="H680" i="1"/>
  <c r="H605" i="1"/>
  <c r="H29" i="1"/>
  <c r="H425" i="1"/>
  <c r="H1646" i="1"/>
  <c r="H101" i="1"/>
  <c r="H1979" i="1"/>
  <c r="H1386" i="1"/>
  <c r="H200" i="1"/>
  <c r="H1182" i="1"/>
  <c r="H308" i="1"/>
  <c r="H999" i="1"/>
  <c r="H1729" i="1"/>
  <c r="H147" i="1"/>
  <c r="H1351" i="1"/>
  <c r="H493" i="1"/>
  <c r="H94" i="1"/>
  <c r="H519" i="1"/>
  <c r="H1608" i="1"/>
  <c r="H1783" i="1"/>
  <c r="H1330" i="1"/>
  <c r="H1096" i="1"/>
  <c r="H1111" i="1"/>
  <c r="H1137" i="1"/>
  <c r="H1754" i="1"/>
  <c r="H1050" i="1"/>
  <c r="H1453" i="1"/>
  <c r="H1432" i="1"/>
  <c r="H1369" i="1"/>
  <c r="H1756" i="1"/>
  <c r="H1973" i="1"/>
  <c r="H631" i="1"/>
  <c r="H466" i="1"/>
  <c r="H1914" i="1"/>
  <c r="H898" i="1"/>
  <c r="H973" i="1"/>
  <c r="H817" i="1"/>
  <c r="H931" i="1"/>
  <c r="H1421" i="1"/>
  <c r="H1322" i="1"/>
  <c r="H1020" i="1"/>
  <c r="H1913" i="1"/>
  <c r="H1457" i="1"/>
  <c r="H238" i="1"/>
  <c r="H1433" i="1"/>
  <c r="H1588" i="1"/>
  <c r="H887" i="1"/>
  <c r="H688" i="1"/>
  <c r="H1944" i="1"/>
  <c r="H744" i="1"/>
  <c r="H1549" i="1"/>
  <c r="H923" i="1"/>
  <c r="H1282" i="1"/>
  <c r="H1051" i="1"/>
  <c r="H555" i="1"/>
  <c r="H263" i="1"/>
  <c r="H495" i="1"/>
  <c r="H1732" i="1"/>
  <c r="H1553" i="1"/>
  <c r="H1118" i="1"/>
  <c r="H660" i="1"/>
  <c r="H1623" i="1"/>
  <c r="H25" i="1"/>
  <c r="H1045" i="1"/>
  <c r="H1123" i="1"/>
  <c r="H1112" i="1"/>
  <c r="H148" i="1"/>
  <c r="H716" i="1"/>
  <c r="H1458" i="1"/>
  <c r="H1273" i="1"/>
  <c r="H340" i="1"/>
  <c r="H18" i="1"/>
  <c r="H912" i="1"/>
  <c r="H17" i="1"/>
  <c r="H678" i="1"/>
  <c r="H489" i="1"/>
  <c r="H1041" i="1"/>
  <c r="H1852" i="1"/>
  <c r="H1614" i="1"/>
  <c r="H1388" i="1"/>
  <c r="H311" i="1"/>
  <c r="H615" i="1"/>
  <c r="H352" i="1"/>
  <c r="H1212" i="1"/>
  <c r="H1221" i="1"/>
  <c r="H1053" i="1"/>
  <c r="H814" i="1"/>
  <c r="H1940" i="1"/>
  <c r="H1875" i="1"/>
  <c r="H1694" i="1"/>
  <c r="H1023" i="1"/>
  <c r="H194" i="1"/>
  <c r="H1299" i="1"/>
  <c r="H1339" i="1"/>
  <c r="H975" i="1"/>
  <c r="H733" i="1"/>
  <c r="H1873" i="1"/>
  <c r="H169" i="1"/>
  <c r="H653" i="1"/>
  <c r="H468" i="1"/>
  <c r="H455" i="1"/>
  <c r="H443" i="1"/>
  <c r="H535" i="1"/>
  <c r="H1335" i="1"/>
  <c r="H253" i="1"/>
  <c r="H305" i="1"/>
  <c r="H1523" i="1"/>
  <c r="H472" i="1"/>
  <c r="H1228" i="1"/>
  <c r="H738" i="1"/>
  <c r="H809" i="1"/>
  <c r="H1745" i="1"/>
  <c r="H1461" i="1"/>
  <c r="H610" i="1"/>
  <c r="H1218" i="1"/>
  <c r="H1505" i="1"/>
  <c r="H1446" i="1"/>
  <c r="H1279" i="1"/>
  <c r="H346" i="1"/>
  <c r="H1744" i="1"/>
  <c r="H1068" i="1"/>
  <c r="H1753" i="1"/>
  <c r="H276" i="1"/>
  <c r="H1715" i="1"/>
  <c r="H1495" i="1"/>
  <c r="H256" i="1"/>
  <c r="H1789" i="1"/>
  <c r="H1394" i="1"/>
  <c r="H1784" i="1"/>
  <c r="H1643" i="1"/>
  <c r="H1215" i="1"/>
  <c r="H581" i="1"/>
  <c r="H315" i="1"/>
  <c r="H1948" i="1"/>
  <c r="H1004" i="1"/>
  <c r="H1514" i="1"/>
  <c r="H1266" i="1"/>
  <c r="H980" i="1"/>
  <c r="H1343" i="1"/>
  <c r="H587" i="1"/>
  <c r="H1916" i="1"/>
  <c r="H837" i="1"/>
  <c r="H63" i="1"/>
  <c r="H1515" i="1"/>
  <c r="H146" i="1"/>
  <c r="H46" i="1"/>
  <c r="H1071" i="1"/>
  <c r="H1525" i="1"/>
  <c r="H335" i="1"/>
  <c r="H910" i="1"/>
  <c r="H1110" i="1"/>
  <c r="H285" i="1"/>
  <c r="H1087" i="1"/>
  <c r="H1585" i="1"/>
  <c r="H551" i="1"/>
  <c r="H866" i="1"/>
  <c r="H1416" i="1"/>
  <c r="H191" i="1"/>
  <c r="H1156" i="1"/>
  <c r="H1781" i="1"/>
  <c r="H780" i="1"/>
  <c r="H120" i="1"/>
  <c r="H64" i="1"/>
  <c r="H1831" i="1"/>
  <c r="H1117" i="1"/>
  <c r="H1842" i="1"/>
  <c r="H1787" i="1"/>
  <c r="H1746" i="1"/>
  <c r="H1291" i="1"/>
  <c r="H1571" i="1"/>
  <c r="H1047" i="1"/>
  <c r="H1856" i="1"/>
  <c r="H1928" i="1"/>
  <c r="H420" i="1"/>
  <c r="H448" i="1"/>
  <c r="H1509" i="1"/>
  <c r="H348" i="1"/>
  <c r="H1196" i="1"/>
  <c r="H60" i="1"/>
  <c r="H1860" i="1"/>
  <c r="H298" i="1"/>
  <c r="H1441" i="1"/>
  <c r="H1862" i="1"/>
  <c r="H838" i="1"/>
  <c r="H31" i="1"/>
  <c r="H166" i="1"/>
  <c r="H1911" i="1"/>
  <c r="H521" i="1"/>
  <c r="H1896" i="1"/>
  <c r="H1074" i="1"/>
  <c r="H38" i="1"/>
  <c r="H749" i="1"/>
  <c r="H1905" i="1"/>
  <c r="H948" i="1"/>
  <c r="H1469" i="1"/>
  <c r="H1566" i="1"/>
  <c r="H1687" i="1"/>
  <c r="H1533" i="1"/>
  <c r="H1466" i="1"/>
  <c r="H1178" i="1"/>
  <c r="H705" i="1"/>
  <c r="H1241" i="1"/>
  <c r="H713" i="1"/>
  <c r="H1116" i="1"/>
  <c r="H1757" i="1"/>
  <c r="H1246" i="1"/>
  <c r="H1131" i="1"/>
  <c r="H1569" i="1"/>
  <c r="H956" i="1"/>
  <c r="H497" i="1"/>
  <c r="H242" i="1"/>
  <c r="H1372" i="1"/>
  <c r="H1933" i="1"/>
  <c r="H1887" i="1"/>
  <c r="H896" i="1"/>
  <c r="H812" i="1"/>
  <c r="H783" i="1"/>
  <c r="H10" i="1"/>
  <c r="H37" i="1"/>
  <c r="H133" i="1"/>
  <c r="H940" i="1"/>
  <c r="H99" i="1"/>
  <c r="H355" i="1"/>
  <c r="H1058" i="1"/>
  <c r="H1734" i="1"/>
  <c r="H13" i="1"/>
  <c r="H1128" i="1"/>
  <c r="H588" i="1"/>
  <c r="H1998" i="1"/>
  <c r="H1590" i="1"/>
  <c r="H243" i="1"/>
  <c r="H748" i="1"/>
  <c r="H1104" i="1"/>
  <c r="H414" i="1"/>
  <c r="H360" i="1"/>
  <c r="H1027" i="1"/>
  <c r="H938" i="1"/>
  <c r="H917" i="1"/>
  <c r="H71" i="1"/>
  <c r="H781" i="1"/>
  <c r="H246" i="1"/>
  <c r="H676" i="1"/>
  <c r="H813" i="1"/>
  <c r="H375" i="1"/>
  <c r="H1206" i="1"/>
  <c r="H930" i="1"/>
  <c r="H1190" i="1"/>
  <c r="H1327" i="1"/>
  <c r="H180" i="1"/>
  <c r="H1089" i="1"/>
  <c r="H453" i="1"/>
  <c r="H1079" i="1"/>
  <c r="H1449" i="1"/>
  <c r="H176" i="1"/>
  <c r="H541" i="1"/>
  <c r="H190" i="1"/>
  <c r="H1730" i="1"/>
  <c r="H240" i="1"/>
  <c r="H220" i="1"/>
  <c r="H1163" i="1"/>
  <c r="H1815" i="1"/>
  <c r="H1016" i="1"/>
  <c r="H490" i="1"/>
  <c r="H627" i="1"/>
  <c r="H1263" i="1"/>
  <c r="H310" i="1"/>
  <c r="H886" i="1"/>
  <c r="H1849" i="1"/>
  <c r="H1017" i="1"/>
  <c r="H255" i="1"/>
  <c r="H828" i="1"/>
  <c r="H1124" i="1"/>
  <c r="H531" i="1"/>
  <c r="H1857" i="1"/>
  <c r="H1983" i="1"/>
  <c r="H736" i="1"/>
  <c r="H1723" i="1"/>
  <c r="H1295" i="1"/>
  <c r="H1383" i="1"/>
  <c r="H1629" i="1"/>
  <c r="H36" i="1"/>
  <c r="H1160" i="1"/>
  <c r="H979" i="1"/>
  <c r="H429" i="1"/>
  <c r="H773" i="1"/>
  <c r="H1491" i="1"/>
  <c r="H1660" i="1"/>
  <c r="H752" i="1"/>
  <c r="H518" i="1"/>
  <c r="H1653" i="1"/>
  <c r="H20" i="1"/>
  <c r="H797" i="1"/>
  <c r="H1262" i="1"/>
  <c r="H857" i="1"/>
  <c r="H395" i="1"/>
  <c r="H1552" i="1"/>
  <c r="H703" i="1"/>
  <c r="H1965" i="1"/>
  <c r="H306" i="1"/>
  <c r="H1688" i="1"/>
  <c r="H1625" i="1"/>
  <c r="H983" i="1"/>
  <c r="H1214" i="1"/>
  <c r="H1568" i="1"/>
  <c r="H1950" i="1"/>
  <c r="H841" i="1"/>
  <c r="H1707" i="1"/>
  <c r="H1140" i="1"/>
  <c r="H971" i="1"/>
  <c r="H761" i="1"/>
  <c r="H743" i="1"/>
  <c r="H284" i="1"/>
  <c r="H1963" i="1"/>
  <c r="H1070" i="1"/>
  <c r="H1915" i="1"/>
  <c r="H1741" i="1"/>
  <c r="H76" i="1"/>
  <c r="H1773" i="1"/>
  <c r="H95" i="1"/>
  <c r="H585" i="1"/>
  <c r="H141" i="1"/>
  <c r="H27" i="1"/>
  <c r="H1061" i="1"/>
  <c r="H810" i="1"/>
  <c r="H1482" i="1"/>
  <c r="H52" i="1"/>
  <c r="H114" i="1"/>
  <c r="H195" i="1"/>
  <c r="H674" i="1"/>
  <c r="H1199" i="1"/>
  <c r="H234" i="1"/>
  <c r="H327" i="1"/>
  <c r="H51" i="1"/>
  <c r="H1359" i="1"/>
  <c r="H654" i="1"/>
  <c r="H1663" i="1"/>
  <c r="H1304" i="1"/>
  <c r="H1626" i="1"/>
  <c r="H1319" i="1"/>
  <c r="H91" i="1"/>
  <c r="H592" i="1"/>
  <c r="H624" i="1"/>
  <c r="H745" i="1"/>
  <c r="H293" i="1"/>
  <c r="H1379" i="1"/>
  <c r="H248" i="1"/>
  <c r="H520" i="1"/>
  <c r="H1346" i="1"/>
  <c r="H132" i="1"/>
  <c r="H411" i="1"/>
  <c r="H178" i="1"/>
  <c r="H1581" i="1"/>
  <c r="H1337" i="1"/>
  <c r="H314" i="1"/>
  <c r="H119" i="1"/>
  <c r="H268" i="1"/>
  <c r="H1504" i="1"/>
  <c r="H1558" i="1"/>
  <c r="H223" i="1"/>
  <c r="H929" i="1"/>
  <c r="H1847" i="1"/>
  <c r="H1257" i="1"/>
  <c r="H569" i="1"/>
  <c r="H786" i="1"/>
  <c r="H125" i="1"/>
  <c r="H1791" i="1"/>
  <c r="H1728" i="1"/>
  <c r="H300" i="1"/>
  <c r="H1868" i="1"/>
  <c r="H522" i="1"/>
  <c r="H820" i="1"/>
  <c r="H1353" i="1"/>
  <c r="H1556" i="1"/>
  <c r="H1437" i="1"/>
  <c r="H1408" i="1"/>
  <c r="H1129" i="1"/>
  <c r="H874" i="1"/>
  <c r="H782" i="1"/>
  <c r="H686" i="1"/>
  <c r="H1454" i="1"/>
  <c r="H485" i="1"/>
  <c r="H291" i="1"/>
  <c r="H739" i="1"/>
  <c r="H764" i="1"/>
  <c r="H332" i="1"/>
  <c r="H1992" i="1"/>
  <c r="H1224" i="1"/>
  <c r="H804" i="1"/>
  <c r="H156" i="1"/>
  <c r="H1853" i="1"/>
  <c r="H563" i="1"/>
  <c r="H1106" i="1"/>
  <c r="H1309" i="1"/>
  <c r="H1143" i="1"/>
  <c r="H1440" i="1"/>
  <c r="H683" i="1"/>
  <c r="H1617" i="1"/>
  <c r="H445" i="1"/>
  <c r="H759" i="1"/>
  <c r="H1186" i="1"/>
  <c r="H709" i="1"/>
  <c r="H1281" i="1"/>
  <c r="H514" i="1"/>
  <c r="H476" i="1"/>
  <c r="H806" i="1"/>
  <c r="H693" i="1"/>
  <c r="H1934" i="1"/>
  <c r="H2001" i="1"/>
  <c r="H1834" i="1"/>
  <c r="H127" i="1"/>
  <c r="H1696" i="1"/>
  <c r="H1237" i="1"/>
  <c r="H908" i="1"/>
  <c r="H199" i="1"/>
  <c r="H719" i="1"/>
  <c r="H640" i="1"/>
  <c r="H473" i="1"/>
  <c r="H995" i="1"/>
  <c r="H1593" i="1"/>
  <c r="H712" i="1"/>
  <c r="H982" i="1"/>
  <c r="H952" i="1"/>
  <c r="H795" i="1"/>
  <c r="H358" i="1"/>
  <c r="H718" i="1"/>
  <c r="H139" i="1"/>
  <c r="H1613" i="1"/>
  <c r="H85" i="1"/>
  <c r="H334" i="1"/>
  <c r="H1778" i="1"/>
  <c r="H925" i="1"/>
  <c r="H75" i="1"/>
  <c r="H1419" i="1"/>
  <c r="H1790" i="1"/>
  <c r="H126" i="1"/>
  <c r="H517" i="1"/>
  <c r="H1584" i="1"/>
  <c r="H747" i="1"/>
  <c r="H26" i="1"/>
  <c r="H946" i="1"/>
  <c r="H1621" i="1"/>
  <c r="H339" i="1"/>
  <c r="H816" i="1"/>
  <c r="H850" i="1"/>
  <c r="H1878" i="1"/>
  <c r="H1550" i="1"/>
  <c r="H550" i="1"/>
  <c r="H1508" i="1"/>
  <c r="H778" i="1"/>
  <c r="H1883" i="1"/>
  <c r="H1361" i="1"/>
  <c r="H1997" i="1"/>
  <c r="H203" i="1"/>
  <c r="H1736" i="1"/>
  <c r="H1886" i="1"/>
  <c r="H1698" i="1"/>
  <c r="H636" i="1"/>
  <c r="H1496" i="1"/>
  <c r="H1677" i="1"/>
  <c r="H1442" i="1"/>
  <c r="H634" i="1"/>
  <c r="H477" i="1"/>
  <c r="H135" i="1"/>
  <c r="H1439" i="1"/>
  <c r="H658" i="1"/>
  <c r="H1142" i="1"/>
  <c r="H1431" i="1"/>
  <c r="H906" i="1"/>
  <c r="H400" i="1"/>
  <c r="H1667" i="1"/>
  <c r="H396" i="1"/>
  <c r="H726" i="1"/>
  <c r="H282" i="1"/>
  <c r="H724" i="1"/>
  <c r="H1587" i="1"/>
  <c r="H1101" i="1"/>
  <c r="H1858" i="1"/>
  <c r="H1368" i="1"/>
  <c r="H609" i="1"/>
  <c r="H869" i="1"/>
  <c r="H158" i="1"/>
  <c r="H565" i="1"/>
  <c r="H675" i="1"/>
  <c r="H976" i="1"/>
  <c r="H1267" i="1"/>
  <c r="H754" i="1"/>
  <c r="H183" i="1"/>
  <c r="H934" i="1"/>
  <c r="H1708" i="1"/>
  <c r="H1988" i="1"/>
  <c r="H1244" i="1"/>
  <c r="H106" i="1"/>
  <c r="H833" i="1"/>
  <c r="H388" i="1"/>
  <c r="H633" i="1"/>
  <c r="H1539" i="1"/>
  <c r="H625" i="1"/>
  <c r="H1700" i="1"/>
  <c r="H88" i="1"/>
  <c r="H1060" i="1"/>
  <c r="H1835" i="1"/>
  <c r="H1982" i="1"/>
  <c r="H1718" i="1"/>
  <c r="H1272" i="1"/>
  <c r="H1888" i="1"/>
  <c r="H1271" i="1"/>
  <c r="H487" i="1"/>
  <c r="H1703" i="1"/>
  <c r="H1586" i="1"/>
  <c r="H580" i="1"/>
  <c r="H1318" i="1"/>
  <c r="H839" i="1"/>
  <c r="H1704" i="1"/>
  <c r="H1570" i="1"/>
  <c r="H326" i="1"/>
  <c r="H844" i="1"/>
  <c r="H1168" i="1"/>
  <c r="H1900" i="1"/>
  <c r="H1340" i="1"/>
  <c r="H835" i="1"/>
  <c r="H8" i="1"/>
  <c r="H879" i="1"/>
  <c r="H84" i="1"/>
  <c r="H235" i="1"/>
  <c r="H805" i="1"/>
  <c r="H1912" i="1"/>
  <c r="H309" i="1"/>
  <c r="H1600" i="1"/>
  <c r="H1008" i="1"/>
  <c r="H1524" i="1"/>
  <c r="H430" i="1"/>
  <c r="H226" i="1"/>
  <c r="H1320" i="1"/>
  <c r="H1049" i="1"/>
  <c r="H649" i="1"/>
  <c r="H1609" i="1"/>
  <c r="H526" i="1"/>
  <c r="H1954" i="1"/>
  <c r="H1038" i="1"/>
  <c r="H1474" i="1"/>
  <c r="H1830" i="1"/>
  <c r="H1145" i="1"/>
  <c r="H1735" i="1"/>
  <c r="H97" i="1"/>
  <c r="H227" i="1"/>
  <c r="H1485" i="1"/>
  <c r="H206" i="1"/>
  <c r="H892" i="1"/>
  <c r="H1243" i="1"/>
  <c r="H1362" i="1"/>
  <c r="H807" i="1"/>
  <c r="H128" i="1"/>
  <c r="H591" i="1"/>
  <c r="H1233" i="1"/>
  <c r="H771" i="1"/>
  <c r="H862" i="1"/>
  <c r="H1422" i="1"/>
  <c r="H231" i="1"/>
  <c r="H656" i="1"/>
  <c r="H1899" i="1"/>
  <c r="H160" i="1"/>
  <c r="H422" i="1"/>
  <c r="H957" i="1"/>
  <c r="H81" i="1"/>
  <c r="H998" i="1"/>
  <c r="H439" i="1"/>
  <c r="H607" i="1"/>
  <c r="H1991" i="1"/>
  <c r="H479" i="1"/>
  <c r="H288" i="1"/>
  <c r="H556" i="1"/>
  <c r="H1750" i="1"/>
  <c r="H1865" i="1"/>
  <c r="H1037" i="1"/>
  <c r="H1638" i="1"/>
  <c r="H619" i="1"/>
  <c r="H932" i="1"/>
  <c r="H102" i="1"/>
  <c r="H661" i="1"/>
  <c r="H423" i="1"/>
  <c r="H578" i="1"/>
  <c r="H244" i="1"/>
  <c r="H821" i="1"/>
  <c r="H775" i="1"/>
  <c r="H846" i="1"/>
  <c r="H1021" i="1"/>
  <c r="H1671" i="1"/>
  <c r="H1941" i="1"/>
  <c r="H1065" i="1"/>
  <c r="H229" i="1"/>
  <c r="H179" i="1"/>
  <c r="H1475" i="1"/>
  <c r="H1356" i="1"/>
  <c r="H883" i="1"/>
  <c r="H1594" i="1"/>
  <c r="H105" i="1"/>
  <c r="H872" i="1"/>
  <c r="H162" i="1"/>
  <c r="H1259" i="1"/>
  <c r="H1711" i="1"/>
  <c r="H552" i="1"/>
  <c r="H763" i="1"/>
  <c r="H746" i="1"/>
  <c r="H1149" i="1"/>
  <c r="H968" i="1"/>
  <c r="H711" i="1"/>
  <c r="H96" i="1"/>
  <c r="H251" i="1"/>
  <c r="H142" i="1"/>
  <c r="H1672" i="1"/>
  <c r="H1180" i="1"/>
  <c r="H1183" i="1"/>
  <c r="H1374" i="1"/>
  <c r="H1121" i="1"/>
  <c r="H608" i="1"/>
  <c r="H394" i="1"/>
  <c r="H1633" i="1"/>
  <c r="H1766" i="1"/>
  <c r="H632" i="1"/>
  <c r="H1972" i="1"/>
  <c r="H1864" i="1"/>
  <c r="H1712" i="1"/>
  <c r="H1977" i="1"/>
  <c r="H118" i="1"/>
  <c r="H1459" i="1"/>
  <c r="H670" i="1"/>
  <c r="H774" i="1"/>
  <c r="H832" i="1"/>
  <c r="H1109" i="1"/>
  <c r="H279" i="1"/>
  <c r="H266" i="1"/>
  <c r="H481" i="1"/>
  <c r="H471" i="1"/>
  <c r="H937" i="1"/>
  <c r="H663" i="1"/>
  <c r="H261" i="1"/>
  <c r="H1297" i="1"/>
  <c r="H648" i="1"/>
  <c r="H1344" i="1"/>
  <c r="H991" i="1"/>
  <c r="H1456" i="1"/>
  <c r="H894" i="1"/>
  <c r="H1799" i="1"/>
  <c r="H1844" i="1"/>
  <c r="H1426" i="1"/>
  <c r="H1706" i="1"/>
  <c r="H829" i="1"/>
  <c r="H320" i="1"/>
  <c r="H1005" i="1"/>
  <c r="H1690" i="1"/>
  <c r="H1336" i="1"/>
  <c r="H808" i="1"/>
  <c r="H510" i="1"/>
  <c r="H1823" i="1"/>
  <c r="H1147" i="1"/>
  <c r="H426" i="1"/>
  <c r="H1227" i="1"/>
  <c r="H167" i="1"/>
  <c r="H1794" i="1"/>
  <c r="H107" i="1"/>
  <c r="H681" i="1"/>
  <c r="H651" i="1"/>
  <c r="H1654" i="1"/>
  <c r="H1502" i="1"/>
  <c r="H2000" i="1"/>
  <c r="H921" i="1"/>
  <c r="H572" i="1"/>
  <c r="H1413" i="1"/>
  <c r="H1125" i="1"/>
  <c r="H1952" i="1"/>
  <c r="H1451" i="1"/>
  <c r="H1258" i="1"/>
  <c r="H337" i="1"/>
  <c r="H1811" i="1"/>
  <c r="H478" i="1"/>
  <c r="H1659" i="1"/>
  <c r="H1134" i="1"/>
  <c r="H214" i="1"/>
  <c r="H130" i="1"/>
  <c r="H864" i="1"/>
  <c r="H1151" i="1"/>
  <c r="H617" i="1"/>
  <c r="H33" i="1"/>
  <c r="H1146" i="1"/>
  <c r="H103" i="1"/>
  <c r="H1018" i="1"/>
  <c r="H201" i="1"/>
  <c r="H544" i="1"/>
  <c r="H379" i="1"/>
  <c r="H1355" i="1"/>
  <c r="H1427" i="1"/>
  <c r="H710" i="1"/>
  <c r="H1069" i="1"/>
  <c r="H811" i="1"/>
  <c r="H205" i="1"/>
  <c r="H1560" i="1"/>
  <c r="H1465" i="1"/>
  <c r="H1892" i="1"/>
  <c r="H1034" i="1"/>
  <c r="H40" i="1"/>
  <c r="H768" i="1"/>
  <c r="H1014" i="1"/>
  <c r="H210" i="1"/>
  <c r="H1642" i="1"/>
  <c r="H272" i="1"/>
  <c r="H295" i="1"/>
  <c r="H1363" i="1"/>
  <c r="H460" i="1"/>
  <c r="H457" i="1"/>
  <c r="H638" i="1"/>
  <c r="H267" i="1"/>
  <c r="H949" i="1"/>
  <c r="H1861" i="1"/>
  <c r="H1521" i="1"/>
</calcChain>
</file>

<file path=xl/sharedStrings.xml><?xml version="1.0" encoding="utf-8"?>
<sst xmlns="http://schemas.openxmlformats.org/spreadsheetml/2006/main" count="10014" uniqueCount="2026">
  <si>
    <t>Date</t>
  </si>
  <si>
    <t>Customer_ID</t>
  </si>
  <si>
    <t>Channel</t>
  </si>
  <si>
    <t>Time_of_Day</t>
  </si>
  <si>
    <t>Order_Value</t>
  </si>
  <si>
    <t>Promo_Used</t>
  </si>
  <si>
    <t>Daily_Revenue</t>
  </si>
  <si>
    <t>761859c6-b148-4dd2-92c9-2569666edce1</t>
  </si>
  <si>
    <t>Email</t>
  </si>
  <si>
    <t>Morning</t>
  </si>
  <si>
    <t>No</t>
  </si>
  <si>
    <t>Yes</t>
  </si>
  <si>
    <t>6895c11b-30ac-4f9a-9f34-467a5b56900b</t>
  </si>
  <si>
    <t>Flyer</t>
  </si>
  <si>
    <t>Afternoon</t>
  </si>
  <si>
    <t>57989a02-15ac-4b34-b26b-34b8d790a7eb</t>
  </si>
  <si>
    <t>Evening</t>
  </si>
  <si>
    <t>2afbed23-859c-439f-b020-3d8510b49da9</t>
  </si>
  <si>
    <t>Instagram</t>
  </si>
  <si>
    <t>Night</t>
  </si>
  <si>
    <t>f73e4542-5523-4578-adf7-b8a70f9865df</t>
  </si>
  <si>
    <t>dd9b06e7-6dc0-4123-99c1-c8c776a08437</t>
  </si>
  <si>
    <t>bae5e143-a6c4-4c85-b6f4-5c7b48fd7c64</t>
  </si>
  <si>
    <t>6a6cea4f-54db-4732-884f-d2a22f648eff</t>
  </si>
  <si>
    <t>Loyalty App</t>
  </si>
  <si>
    <t>9c325aa9-6b00-421e-9e4c-4225df2968b7</t>
  </si>
  <si>
    <t>7ac8725c-b16e-4446-94fc-3addac9c17fb</t>
  </si>
  <si>
    <t>79ea53f0-f8d2-4b21-a427-5b441df9acb6</t>
  </si>
  <si>
    <t>2b4e5763-4148-4a29-ace8-cd8ab7036a29</t>
  </si>
  <si>
    <t>9bc0e071-56a2-476f-9963-761eeb50595a</t>
  </si>
  <si>
    <t>45fe0f52-0d9b-420c-96c1-637851a1ceae</t>
  </si>
  <si>
    <t>5f6751b3-eb5d-4953-90d6-6a8f08127563</t>
  </si>
  <si>
    <t>47f3837f-c03b-4d98-8fdb-8e229b995286</t>
  </si>
  <si>
    <t>8446e218-01b7-451b-ac6f-3399e7cc58be</t>
  </si>
  <si>
    <t>dddb3ac0-da93-4363-9a77-5e15b63d7658</t>
  </si>
  <si>
    <t>9bb735d5-2cba-4ad4-8b2c-f33ee2ac2144</t>
  </si>
  <si>
    <t>ce24ebdc-cb87-4d5c-8c72-e2c2f8220072</t>
  </si>
  <si>
    <t>801d1f0b-9dce-49e8-9f92-5bce0bb3ad88</t>
  </si>
  <si>
    <t>de8092b9-329c-4731-a8c1-767ad5f63246</t>
  </si>
  <si>
    <t>8e159bcd-c8c9-435d-b732-e7e613d63b87</t>
  </si>
  <si>
    <t>5b75100a-752b-47e2-8764-aab67c0e59bc</t>
  </si>
  <si>
    <t>d2ca6b86-e516-4909-a826-407481233664</t>
  </si>
  <si>
    <t>bd3cae75-47b3-47d2-9ce4-bd212d91c434</t>
  </si>
  <si>
    <t>1f0dbc57-8d57-43b5-b434-80a5c009c3d2</t>
  </si>
  <si>
    <t>814b34d8-e5c0-4d79-ace6-970bbcc80b9a</t>
  </si>
  <si>
    <t>5f164385-7269-4258-bef6-400124640a70</t>
  </si>
  <si>
    <t>bef88977-d143-459c-96ad-b6094d60e668</t>
  </si>
  <si>
    <t>1e5f4e70-dab3-4338-b35c-25ea0a28783d</t>
  </si>
  <si>
    <t>89803956-81b4-4a13-a75e-d3373b217d9e</t>
  </si>
  <si>
    <t>3a122d17-1057-409d-a78b-d619673849c9</t>
  </si>
  <si>
    <t>5405348e-f440-4a43-82cc-c74cf1dae90d</t>
  </si>
  <si>
    <t>c91e402d-df2f-41a4-a62e-bc434a2d0dc4</t>
  </si>
  <si>
    <t>61e6a90e-fe5e-44d7-9b0b-1e214b1222a8</t>
  </si>
  <si>
    <t>c8526a8b-1cb0-439e-a18f-48e41bbd3af3</t>
  </si>
  <si>
    <t>3fe5bf99-9c60-4643-984b-6b57ee0eff08</t>
  </si>
  <si>
    <t>c7269230-1aaf-4e82-b360-adb0679a020b</t>
  </si>
  <si>
    <t>a95a0a3e-c894-4dd8-bb72-152f3f82a6ef</t>
  </si>
  <si>
    <t>0c6a7e00-8011-4c0d-bd92-c7754a1e8336</t>
  </si>
  <si>
    <t>21e530fd-d371-4f27-afa6-b165ec52ea52</t>
  </si>
  <si>
    <t>2c4501b7-3367-4092-852e-347d3e333e31</t>
  </si>
  <si>
    <t>a6635b8d-7878-4ade-8d16-b7a6b4e7dfba</t>
  </si>
  <si>
    <t>150e1735-85c1-4b1d-bfbf-1a66d771f384</t>
  </si>
  <si>
    <t>681d53cf-0a03-449b-81d1-670d17b3f2ae</t>
  </si>
  <si>
    <t>6521185b-c97c-4724-828d-45cf8af45007</t>
  </si>
  <si>
    <t>008fe41e-d776-441b-8d85-54d5a295da6f</t>
  </si>
  <si>
    <t>27672532-b4fd-4089-9f7b-be503a18083d</t>
  </si>
  <si>
    <t>d918d408-30df-4b30-b3c6-6decaa4a4fab</t>
  </si>
  <si>
    <t>43492683-59c2-4a63-98c2-776ea286bd68</t>
  </si>
  <si>
    <t>7807ccc0-4f5d-4c6f-accf-4603aee571a8</t>
  </si>
  <si>
    <t>e10c3d3f-447c-4e2d-9e89-0344e6c39b59</t>
  </si>
  <si>
    <t>10bcec99-b974-4387-8ac6-ff6f479f49a8</t>
  </si>
  <si>
    <t>5c51be3d-c0f3-4858-b629-b1af983cfc34</t>
  </si>
  <si>
    <t>bd5eac99-b8e3-4060-b5b4-a79383fa52b5</t>
  </si>
  <si>
    <t>9f6c2284-f749-4463-9c5b-23c58221ac3c</t>
  </si>
  <si>
    <t>519fc732-b656-475a-a293-03bdfe238021</t>
  </si>
  <si>
    <t>ebb7decf-85aa-48ce-9ffb-129e3b8b5321</t>
  </si>
  <si>
    <t>8b1f75ab-7496-4745-a519-228d7c84e2bd</t>
  </si>
  <si>
    <t>7a9a7ba6-4059-4cd9-9e14-748452751d92</t>
  </si>
  <si>
    <t>de734020-f067-4f69-8067-1757ef0322cc</t>
  </si>
  <si>
    <t>52e2f568-1bee-42dd-949e-f74612d4446c</t>
  </si>
  <si>
    <t>5065d6dd-baa0-4ddf-a662-ecc76c80f278</t>
  </si>
  <si>
    <t>eb6e6f7e-e987-420c-af72-bd3b610cc89b</t>
  </si>
  <si>
    <t>4909bf14-53ce-4daf-a955-50e9240248aa</t>
  </si>
  <si>
    <t>4632ca8d-2599-4dd8-a259-db6b1fdd321e</t>
  </si>
  <si>
    <t>cb7c7329-286c-49c6-a1e7-0ae9493be153</t>
  </si>
  <si>
    <t>6d582f69-c765-4461-9604-df428d678023</t>
  </si>
  <si>
    <t>ef233fa2-6f55-4440-9846-cdd4bc96f464</t>
  </si>
  <si>
    <t>da359bae-ed1f-49aa-92cb-165eeef92fcc</t>
  </si>
  <si>
    <t>641ef474-99a2-4405-91fd-ec5d84cf9be4</t>
  </si>
  <si>
    <t>76ef5737-fd48-4238-9f1f-bae2198e7602</t>
  </si>
  <si>
    <t>226649f6-951c-4f6d-9129-e2d65fe119ff</t>
  </si>
  <si>
    <t>7acd23ba-f105-4492-9ba5-67df5d85348c</t>
  </si>
  <si>
    <t>2c0bc7f3-8696-4007-bb25-67173d0105e7</t>
  </si>
  <si>
    <t>8049c0c1-07f7-48ad-87d7-38d2273a7217</t>
  </si>
  <si>
    <t>3c86d103-8cc9-4040-9e73-d37f9e7aaf3e</t>
  </si>
  <si>
    <t>30bf2c86-77a6-43f8-9116-d64d8011c31e</t>
  </si>
  <si>
    <t>131dbe2c-9be8-4209-9c32-7e094977977e</t>
  </si>
  <si>
    <t>279e86c5-8a03-49bf-9ee8-b38a1ddce645</t>
  </si>
  <si>
    <t>98b333b4-193a-4fb0-99a9-99752088c1c8</t>
  </si>
  <si>
    <t>5d56ba73-082e-45ad-96a0-878dc2d728cb</t>
  </si>
  <si>
    <t>a6207cf9-95b2-4a34-8a8f-207c15d40cdb</t>
  </si>
  <si>
    <t>b7979190-ca83-46ee-9502-89f70b057bb2</t>
  </si>
  <si>
    <t>d02729ee-7f21-4fd3-9eaa-f449ba416867</t>
  </si>
  <si>
    <t>c4523a60-a376-49a5-86b5-758949a5def5</t>
  </si>
  <si>
    <t>66a6ef0a-b085-4edd-9dc1-7cc2df8243b4</t>
  </si>
  <si>
    <t>174cf109-ec24-4480-a705-7860f8f559fa</t>
  </si>
  <si>
    <t>7dea67b1-6a7b-49af-8c5d-81aca5e217f3</t>
  </si>
  <si>
    <t>7dee6f7b-5d93-4dac-b9c9-1940e87a89f5</t>
  </si>
  <si>
    <t>572ea7a1-8c05-4648-9f8b-ce21eaf250cd</t>
  </si>
  <si>
    <t>73a78fd9-dba6-46a4-83d4-a85ade0caeec</t>
  </si>
  <si>
    <t>ed3a1ad1-1d5a-47fd-9683-c49be3349825</t>
  </si>
  <si>
    <t>e818a73f-143b-49c4-9fd9-ad9dc01d5824</t>
  </si>
  <si>
    <t>01bad105-1956-4b3a-9ea9-edf488d3cb45</t>
  </si>
  <si>
    <t>d0b31554-f057-45fb-9aa2-e7bbc08d06ee</t>
  </si>
  <si>
    <t>87595904-3936-4938-bff2-b65ac21fceb4</t>
  </si>
  <si>
    <t>e34de291-49a5-4114-986d-99f3caeb2cce</t>
  </si>
  <si>
    <t>0a3b95eb-05ed-4c16-937d-86690a130576</t>
  </si>
  <si>
    <t>9c7f2c34-78a7-48c9-9523-d527cdfc5429</t>
  </si>
  <si>
    <t>87c19f6a-380a-4622-8937-14f26f137183</t>
  </si>
  <si>
    <t>850a2e0d-79f0-4ad7-b15f-b5598252ab42</t>
  </si>
  <si>
    <t>f4a7a66d-0190-4e1f-9f04-50d62b790811</t>
  </si>
  <si>
    <t>81b45e0e-672e-40ea-8d1d-7f3978c6cca8</t>
  </si>
  <si>
    <t>4c53ddc8-b6d6-4915-9d06-910487087e49</t>
  </si>
  <si>
    <t>9b6ed3d4-bb87-442c-92dc-8be072fb5aec</t>
  </si>
  <si>
    <t>ce524469-395c-49fa-9720-fa687b7fac9c</t>
  </si>
  <si>
    <t>0b148238-d28e-41cf-8f2a-3d3fa4ec86ba</t>
  </si>
  <si>
    <t>270becb9-b27b-496d-8683-e76da2421229</t>
  </si>
  <si>
    <t>c956a6e2-ec44-4fa9-a5b8-fed7f70cf985</t>
  </si>
  <si>
    <t>a6d76342-0055-4c10-954f-1232500dcbce</t>
  </si>
  <si>
    <t>e7d71634-23f0-472e-90d2-650841e61614</t>
  </si>
  <si>
    <t>7963bb3c-7f9b-49a9-a919-9fe3c3bed309</t>
  </si>
  <si>
    <t>b55c9fc5-34c1-4eef-993b-78d49bda5afe</t>
  </si>
  <si>
    <t>82af80e4-6310-4177-9694-82637003bfbb</t>
  </si>
  <si>
    <t>84043d8e-93d8-4216-9826-68bbe1e98698</t>
  </si>
  <si>
    <t>a688c892-1cee-4ecf-b6cd-e975c67aebff</t>
  </si>
  <si>
    <t>9527299d-7c62-4ec6-86a4-d254bdf245d8</t>
  </si>
  <si>
    <t>e7751b72-071d-4897-86d0-3301814cd9ef</t>
  </si>
  <si>
    <t>a90bac7e-fbdd-4215-a730-395110f2f791</t>
  </si>
  <si>
    <t>0eb0f32b-95a5-4e0a-803a-2c75888151f2</t>
  </si>
  <si>
    <t>ef3cbe1d-9cc8-4edb-83ad-45911789a4ef</t>
  </si>
  <si>
    <t>4d9f59d6-ef12-4f49-9bda-613a2f56ed59</t>
  </si>
  <si>
    <t>c7cd773c-53c0-444b-a077-2ae82b319d34</t>
  </si>
  <si>
    <t>a68a341d-9845-4337-8b8c-6854e1f3f56b</t>
  </si>
  <si>
    <t>94bd9528-69f3-47cb-b319-8238d0f1ed41</t>
  </si>
  <si>
    <t>56d11eaf-65a2-4241-8a7c-d4faa4035a85</t>
  </si>
  <si>
    <t>45626bfc-711c-4edd-b1a1-cf86165502d9</t>
  </si>
  <si>
    <t>3ad60a35-2bdc-4480-bc01-fcd666d7917a</t>
  </si>
  <si>
    <t>1405fb96-063e-4a75-8e8d-4b9e26d4afce</t>
  </si>
  <si>
    <t>297f7a0e-ac6f-4041-a2ba-da41d6169627</t>
  </si>
  <si>
    <t>9092892f-5c03-4019-88fa-ac5c25920498</t>
  </si>
  <si>
    <t>20784156-a751-4ed2-9a46-42185c388948</t>
  </si>
  <si>
    <t>5a1e4ee7-2767-4592-9f0c-d4aece846e25</t>
  </si>
  <si>
    <t>1ade5910-da49-4b12-8234-2a0e6640180f</t>
  </si>
  <si>
    <t>937295a7-c4a8-4e61-8f3e-7af637e9ec66</t>
  </si>
  <si>
    <t>134d994a-d850-4076-8999-c8629ad17f74</t>
  </si>
  <si>
    <t>f392727b-2e28-4114-a556-600b443b3ecc</t>
  </si>
  <si>
    <t>7adb2e61-c0cf-4bd2-adb7-d6ed25c76e36</t>
  </si>
  <si>
    <t>2dfda248-b5dc-4bb7-8d7b-ec6504611195</t>
  </si>
  <si>
    <t>4d050b58-84e2-4f05-a0cc-b225643554b1</t>
  </si>
  <si>
    <t>2397c32c-96ab-4675-abc3-1f85591ab7c5</t>
  </si>
  <si>
    <t>30be4c84-73e1-4f59-8f1c-d0902359cfaa</t>
  </si>
  <si>
    <t>5ff16483-b38d-43e1-afa5-c76017bbeaf1</t>
  </si>
  <si>
    <t>ce45e682-ee04-4477-a0b2-e6bc3160a7be</t>
  </si>
  <si>
    <t>68841550-65d2-4013-a470-1fdce07051f2</t>
  </si>
  <si>
    <t>304828fd-f8bf-471e-8e5f-5c0415c0a10c</t>
  </si>
  <si>
    <t>32e3b2e5-8a1c-428b-8020-458f42cf1d8e</t>
  </si>
  <si>
    <t>49875d2f-b9fb-406d-ba37-280c96a3e535</t>
  </si>
  <si>
    <t>34d1567d-4984-4ca0-a122-b9e74f85a16b</t>
  </si>
  <si>
    <t>4d8f9e18-5d16-4836-abe9-25d6be61a9ae</t>
  </si>
  <si>
    <t>8fed4904-2105-4466-ac47-4edcaac21424</t>
  </si>
  <si>
    <t>6774f857-3d5a-4fbe-86ae-825be1f2fa74</t>
  </si>
  <si>
    <t>afe7fd13-f3b4-4f0a-8460-4878250df797</t>
  </si>
  <si>
    <t>bf6602f3-111b-4c56-b4f9-725f60340e53</t>
  </si>
  <si>
    <t>3f6264b0-cba4-4183-a032-d2cba706a486</t>
  </si>
  <si>
    <t>df780fda-656c-422f-9c56-91614cebdfa9</t>
  </si>
  <si>
    <t>3c0cd5d9-0386-4f40-9837-37dd3f1fe808</t>
  </si>
  <si>
    <t>e0d976b0-3ec6-4f51-8d62-a31769b766e9</t>
  </si>
  <si>
    <t>aa2dc5ad-18df-448a-9e5a-9ee777f32b66</t>
  </si>
  <si>
    <t>950f885b-e46a-4a08-bbf2-16d68e0d9d83</t>
  </si>
  <si>
    <t>16fde222-2dee-4725-ae8e-2ecaa39d2deb</t>
  </si>
  <si>
    <t>af8b8924-dd94-486c-9c3b-a25177fd4f24</t>
  </si>
  <si>
    <t>82ac6bce-1760-475f-918c-167353840e96</t>
  </si>
  <si>
    <t>9ff115e6-024d-4d56-80b2-4bf48611d88f</t>
  </si>
  <si>
    <t>da19ea8a-1e9f-49eb-9d95-a3255ed15063</t>
  </si>
  <si>
    <t>1d779bd8-8be5-461b-b45e-1a52e2dde40e</t>
  </si>
  <si>
    <t>8726d27d-ac9c-436b-a956-ecd9e762f61f</t>
  </si>
  <si>
    <t>0bda088d-d203-42b3-ba07-dc75b9a89192</t>
  </si>
  <si>
    <t>0047f78e-c421-41c3-ad25-eec61e5ce802</t>
  </si>
  <si>
    <t>d72faf77-3eab-4b99-bbe5-90188109d183</t>
  </si>
  <si>
    <t>d403603e-35e7-42c6-b8d9-4ca120cb73b7</t>
  </si>
  <si>
    <t>fbee8564-e28f-4db1-8dc4-247b3a841080</t>
  </si>
  <si>
    <t>cf5167ec-d012-4b2e-b6be-4ad2abeafbb5</t>
  </si>
  <si>
    <t>9957d615-57ac-420b-a787-babcc51527d0</t>
  </si>
  <si>
    <t>cd56f408-e5d1-46e4-b8d6-6a9eaa62dc14</t>
  </si>
  <si>
    <t>51b705eb-8121-49e8-b79c-46daf0b9faa9</t>
  </si>
  <si>
    <t>190ea9a4-d716-477f-a5af-7a4b75fc1f5f</t>
  </si>
  <si>
    <t>79b76628-ea01-4de8-8ece-209656397ef7</t>
  </si>
  <si>
    <t>b3764b3f-c970-4875-bbce-bd840c6c2e74</t>
  </si>
  <si>
    <t>20c11ff1-8090-4257-b556-36846e62ef37</t>
  </si>
  <si>
    <t>3955353a-df0e-4ca8-80c0-a47ad79e986a</t>
  </si>
  <si>
    <t>61bd68be-ea1e-4f68-8f13-f7c2dd28b418</t>
  </si>
  <si>
    <t>a6387a1b-613e-4d66-9814-073d0db7b6fc</t>
  </si>
  <si>
    <t>4ca77fae-f332-43a6-96e5-45f742fced63</t>
  </si>
  <si>
    <t>4211840a-e2a3-49e6-9355-63c311d6c4e9</t>
  </si>
  <si>
    <t>4e8dc7d0-9e0c-4b7c-a713-4132af9d99c9</t>
  </si>
  <si>
    <t>4dfeb718-6dad-4358-bb34-ebabc4fb3e43</t>
  </si>
  <si>
    <t>3fd8ca1a-67e8-46fb-8d55-e5a2a0640e04</t>
  </si>
  <si>
    <t>f50d9691-d44b-4757-b6a5-887b760cdb5c</t>
  </si>
  <si>
    <t>6ee61450-d9ff-4464-93a2-9d374dbfa48f</t>
  </si>
  <si>
    <t>1240b141-b205-4486-900b-3d28d8da87c6</t>
  </si>
  <si>
    <t>5fe27ba6-5561-44d7-94ba-e8e60a044534</t>
  </si>
  <si>
    <t>16419b79-769a-4b87-b3ff-a2f1f605d516</t>
  </si>
  <si>
    <t>254bb018-f60f-4432-a9f9-66a786d6c6a9</t>
  </si>
  <si>
    <t>401dbfcd-627b-47dc-9e7b-4410f8967a62</t>
  </si>
  <si>
    <t>abbbdcd2-efa9-4063-952c-60770150c90f</t>
  </si>
  <si>
    <t>08e6f757-3e1f-427d-9800-32587353bd19</t>
  </si>
  <si>
    <t>32c769e7-90ad-4c0f-a3ad-c9c7da4e1b5f</t>
  </si>
  <si>
    <t>da2e603f-df20-4ce9-8a81-fec0a3acdc82</t>
  </si>
  <si>
    <t>250543e4-85d6-4e13-8a35-1637d8864364</t>
  </si>
  <si>
    <t>80b13ae9-7b78-481a-b300-8ff0483762a0</t>
  </si>
  <si>
    <t>14df1d8c-4ec2-4611-811f-8f3d0651b697</t>
  </si>
  <si>
    <t>820f3150-9b6b-42ca-9dfb-0f0b56728d62</t>
  </si>
  <si>
    <t>9b0f2329-ec56-4914-a2d5-6d0e0820abd2</t>
  </si>
  <si>
    <t>e8b13107-6f70-4e0f-b783-92700812698f</t>
  </si>
  <si>
    <t>2d01affc-a1b5-4bfd-92bd-49615c5f56e1</t>
  </si>
  <si>
    <t>5ee6a496-90df-4459-8f14-9fde046bb263</t>
  </si>
  <si>
    <t>230797f2-d516-48de-a878-0c7da6483058</t>
  </si>
  <si>
    <t>d8ad1f82-f15d-422e-8b18-3c161d5fbae2</t>
  </si>
  <si>
    <t>14fe211b-51e5-4c11-bc8f-75ee055e298d</t>
  </si>
  <si>
    <t>1a78953c-92d6-4db3-81cc-44ef5a13a68a</t>
  </si>
  <si>
    <t>815e3a91-c3a9-4b9e-90e2-90a86157592e</t>
  </si>
  <si>
    <t>100b3706-d4a7-40a6-97c7-343d0f1e70f0</t>
  </si>
  <si>
    <t>848e259c-9a23-4fb5-af8f-104824a3b9e5</t>
  </si>
  <si>
    <t>2bd7ef34-ce47-4bd6-9527-79d3f2ccf744</t>
  </si>
  <si>
    <t>9f28e54b-0930-44f2-a28a-50644e43ab27</t>
  </si>
  <si>
    <t>6ad4f5d5-e284-428a-9cfa-e471d7b53557</t>
  </si>
  <si>
    <t>8e897e1a-59f0-4513-aef1-749f9fd2d30f</t>
  </si>
  <si>
    <t>af28fff7-92ab-450b-98f2-be276e3dac1c</t>
  </si>
  <si>
    <t>79dd3bf6-c8cd-4e7a-a459-404ae13417a8</t>
  </si>
  <si>
    <t>26229baa-7214-4c7a-a8ca-da74fd5b3ad0</t>
  </si>
  <si>
    <t>1e1a7612-cbeb-43a3-a225-32026d3fba52</t>
  </si>
  <si>
    <t>2cd55d21-d539-4fde-a580-9396b3e87ee2</t>
  </si>
  <si>
    <t>8d1caa11-4784-4c11-a294-392b0fd069ff</t>
  </si>
  <si>
    <t>5784c0d1-f9ab-492d-95f3-d9fb4cbe0874</t>
  </si>
  <si>
    <t>e994e494-2136-41f0-95d8-a9715d11bb55</t>
  </si>
  <si>
    <t>9a4f3629-b20d-40bf-8658-da0737acf94a</t>
  </si>
  <si>
    <t>93acba5d-f7d3-444b-9a03-92c1ea8c4eae</t>
  </si>
  <si>
    <t>b7df413e-2bf8-43a5-bb23-3dd413d8e723</t>
  </si>
  <si>
    <t>24ec8440-3c43-474a-8b2a-5691b4ad9a91</t>
  </si>
  <si>
    <t>a98e5e35-d7cc-4a01-a2f7-56183ef1fc8c</t>
  </si>
  <si>
    <t>448b3afe-f990-456e-8d01-ed4347233c33</t>
  </si>
  <si>
    <t>0705bcae-f8df-4e3f-969a-23992832c8dc</t>
  </si>
  <si>
    <t>c8048b03-7880-4474-8078-8abae5a034e3</t>
  </si>
  <si>
    <t>16f4f11e-6c5d-483c-8535-9e32019f7b8e</t>
  </si>
  <si>
    <t>4cb093a3-4ce1-42ca-9dc3-681e84a12749</t>
  </si>
  <si>
    <t>85b7c309-5724-4204-b9e6-0ef401b909b1</t>
  </si>
  <si>
    <t>514af74e-1a91-4a12-a967-a6b68fd2df86</t>
  </si>
  <si>
    <t>b90f33fa-bafc-4007-b35e-bd766f19c02a</t>
  </si>
  <si>
    <t>27d1ce17-7e7f-4da8-9625-aed0c677a7ac</t>
  </si>
  <si>
    <t>6c07e907-43ae-46fe-9400-f1dfc28f61f9</t>
  </si>
  <si>
    <t>952324b8-9e10-4a8c-a6bb-3e1ff48cee58</t>
  </si>
  <si>
    <t>373e25da-bea7-4890-b2ae-9a186147f9d5</t>
  </si>
  <si>
    <t>6d54bb3a-4a95-4e55-89e4-cefe98b43368</t>
  </si>
  <si>
    <t>5bb71ffd-9c20-44ca-bc7f-035ec6607279</t>
  </si>
  <si>
    <t>267eb1fd-ffa8-484c-b651-a4d64c0cf442</t>
  </si>
  <si>
    <t>67ea45a7-9018-49d0-b46e-012aa747344c</t>
  </si>
  <si>
    <t>c29c551b-16b0-4fc1-9890-5c372f502251</t>
  </si>
  <si>
    <t>09d1de9a-c22c-48d1-bf4b-c6ee51cc4b8f</t>
  </si>
  <si>
    <t>4b3e6d62-2284-4c99-8378-6b72a13347d5</t>
  </si>
  <si>
    <t>33a8841d-a752-45f7-9388-206b59a65ca6</t>
  </si>
  <si>
    <t>489dc5be-e709-4e13-abbf-8d52cd34b3e6</t>
  </si>
  <si>
    <t>91d96b21-a52a-4426-8e30-81a2347f6092</t>
  </si>
  <si>
    <t>de0fe2d4-9619-4d7a-8345-1d16c775a78d</t>
  </si>
  <si>
    <t>15288a56-7a5d-4948-ba55-836da6f7d41d</t>
  </si>
  <si>
    <t>59466687-0173-4da1-9ed5-5cae02a5bf3b</t>
  </si>
  <si>
    <t>14683a38-6013-4fcc-9e38-c61cb5d0c9df</t>
  </si>
  <si>
    <t>212ef5e9-99a4-4dfd-bd51-3e5c2bb8410b</t>
  </si>
  <si>
    <t>c36bec06-5f09-4854-af9e-aa2dc59f58cb</t>
  </si>
  <si>
    <t>3a67ffa7-68ad-46bd-9d42-46b3eb34ab35</t>
  </si>
  <si>
    <t>68ee2713-7995-419c-84f7-81744cb8a879</t>
  </si>
  <si>
    <t>bd503b80-548c-4fff-836f-e55bfdd44f1c</t>
  </si>
  <si>
    <t>af9766ea-407e-4e75-93c6-62e1fff70ecb</t>
  </si>
  <si>
    <t>9c2a523e-3022-453c-9958-3fab58ebbea8</t>
  </si>
  <si>
    <t>9c453210-d7bb-4693-b715-9a56ad18776a</t>
  </si>
  <si>
    <t>6ade9daa-ec2f-4017-a43b-97750774e7ba</t>
  </si>
  <si>
    <t>92ce99de-ca8a-4299-8a86-1e3034e9232e</t>
  </si>
  <si>
    <t>1ce92ae8-0ccf-468c-8576-d6a521d52dc2</t>
  </si>
  <si>
    <t>bb3c9d10-ae2e-4592-b387-287c071da542</t>
  </si>
  <si>
    <t>07e0ac1a-ccbb-47f0-a52a-60b126b7ad4c</t>
  </si>
  <si>
    <t>7a75809a-5184-489d-8b15-42a2bcb04355</t>
  </si>
  <si>
    <t>0b762d17-29a0-4fde-a3ca-08366861918f</t>
  </si>
  <si>
    <t>7f802685-109d-4bc2-9f05-044fb3f62085</t>
  </si>
  <si>
    <t>a73f83f2-b2b0-4c7d-a9f7-781fc033a852</t>
  </si>
  <si>
    <t>889361a4-1c6b-4261-b028-71d88f607297</t>
  </si>
  <si>
    <t>28fec574-8772-4acf-9e2a-bd356d5221f7</t>
  </si>
  <si>
    <t>099616a3-6724-4725-8ea8-b74e201b1210</t>
  </si>
  <si>
    <t>34eae6a6-1655-4f1f-9026-408739ccc48d</t>
  </si>
  <si>
    <t>9b74932a-e401-4de8-aee7-c32d420c3380</t>
  </si>
  <si>
    <t>6e9f904e-7496-40df-b1aa-adb24e7a7cf1</t>
  </si>
  <si>
    <t>c2c59a5e-71e5-4f16-bf6f-c0761fe150db</t>
  </si>
  <si>
    <t>3911373c-470c-4cce-9a9d-d9e355129911</t>
  </si>
  <si>
    <t>124ec389-b1ec-4e1a-8a25-5156be6d0fa1</t>
  </si>
  <si>
    <t>11b7c7af-22a9-4e21-971b-22d0045cd1fd</t>
  </si>
  <si>
    <t>56b10b7b-708c-4140-8a75-c23e39f18da1</t>
  </si>
  <si>
    <t>b3e7f16f-f576-44c9-8b66-9383a3e8a16a</t>
  </si>
  <si>
    <t>f148e6c5-3cf0-4f58-be8c-20641f4d8273</t>
  </si>
  <si>
    <t>5eae6607-5f09-4aa5-8d40-451494c42273</t>
  </si>
  <si>
    <t>61aecca7-3f66-49a0-b3e2-81fca5e006b3</t>
  </si>
  <si>
    <t>5674e56f-c820-4621-99cf-af54d3d932b0</t>
  </si>
  <si>
    <t>e928ef40-26d7-4d11-9f82-2a5542db91ab</t>
  </si>
  <si>
    <t>4c202272-7ce2-4199-a848-9067882d1c3e</t>
  </si>
  <si>
    <t>c968c483-1bf8-488b-84e9-ee870eccd56b</t>
  </si>
  <si>
    <t>4fc27b4c-859f-4e05-bf78-8feef75c82aa</t>
  </si>
  <si>
    <t>e3390b73-87db-4535-bb62-f4d38a60d256</t>
  </si>
  <si>
    <t>f8f9636a-4c00-4d0d-ace2-54e2b38e330f</t>
  </si>
  <si>
    <t>96faedef-8449-4afa-9a6b-5715cf8a7caf</t>
  </si>
  <si>
    <t>e33fad98-9828-4b11-858b-7825d980d5af</t>
  </si>
  <si>
    <t>7dac1d0c-ffb2-45a1-a572-d9847c236f06</t>
  </si>
  <si>
    <t>6fd37ee2-f530-4f86-aded-d96a33ec86e5</t>
  </si>
  <si>
    <t>4c5ae4af-f18a-4713-b0b7-083abcca4f0e</t>
  </si>
  <si>
    <t>49354968-5803-4156-9ef0-f6d352bf8cc4</t>
  </si>
  <si>
    <t>73012236-0e68-4588-9339-1a63f3f09016</t>
  </si>
  <si>
    <t>d040a2cf-04f0-4f7a-8e37-9ea285c2cc9f</t>
  </si>
  <si>
    <t>24853083-f32a-48cc-b327-4690332a2dc3</t>
  </si>
  <si>
    <t>dd2f76f8-9768-4895-a189-7a047a88af2e</t>
  </si>
  <si>
    <t>145ac4aa-c5d7-4e83-91b8-5936907a7cb0</t>
  </si>
  <si>
    <t>c1467099-4c08-41dc-a520-84d61ca37d87</t>
  </si>
  <si>
    <t>97e86c8c-687f-494d-b2ef-83274f42c07f</t>
  </si>
  <si>
    <t>a0834939-ba74-4b40-a4c9-6c05c5fff6dc</t>
  </si>
  <si>
    <t>03b810fd-e802-4332-a09c-833c55f96c3d</t>
  </si>
  <si>
    <t>ce18023d-1442-4c74-9362-ab4dad9b62f5</t>
  </si>
  <si>
    <t>e072fa7b-2778-4383-9554-4e1bc49a5f9c</t>
  </si>
  <si>
    <t>3deedda1-419f-4177-b082-5b075d41ec80</t>
  </si>
  <si>
    <t>1cd16db7-e2fa-4d29-9e8c-0c4c3463b6b2</t>
  </si>
  <si>
    <t>9a699094-8221-42be-ae39-9cf7bac33c76</t>
  </si>
  <si>
    <t>01fa935d-fbf8-438b-aca3-04c787bd109d</t>
  </si>
  <si>
    <t>579806a2-fe35-4bfb-9538-a16a6b108b40</t>
  </si>
  <si>
    <t>722c0515-dc29-4a0c-ac92-a8e15e125ae4</t>
  </si>
  <si>
    <t>277bea7b-f495-455d-a476-ef868633f32b</t>
  </si>
  <si>
    <t>dbaa55bf-0516-49ef-85fc-66cb6bb15954</t>
  </si>
  <si>
    <t>79214b0c-36dd-4ca9-b908-e0bef9b60363</t>
  </si>
  <si>
    <t>de4d6ae7-6a97-4665-9149-d1a1e86d673c</t>
  </si>
  <si>
    <t>f2d28806-9ab6-4cf2-a485-b398f15d5ca3</t>
  </si>
  <si>
    <t>371ec090-a2b1-43aa-85af-dcb0d887a50c</t>
  </si>
  <si>
    <t>69054287-0599-4849-8f68-ea5135af13e3</t>
  </si>
  <si>
    <t>9d04751c-cc4e-4c9c-92d4-3b84fe75c262</t>
  </si>
  <si>
    <t>e539341f-460a-4512-9bf4-c82c666324b1</t>
  </si>
  <si>
    <t>fb51b63c-f1d6-4fe7-9e54-241b06a8f39c</t>
  </si>
  <si>
    <t>e9ca7032-486b-4511-a969-202c8748092d</t>
  </si>
  <si>
    <t>7a7a8c83-c0bb-422a-af56-1bf7dad3e881</t>
  </si>
  <si>
    <t>27046b4e-964b-4ff5-9cb9-b953a45eae0e</t>
  </si>
  <si>
    <t>17f027fa-6f64-4e40-96c6-2c56ed7e05da</t>
  </si>
  <si>
    <t>a827cd57-ab6e-48bb-9eff-511fc42c8575</t>
  </si>
  <si>
    <t>001c57fe-55e8-4280-ad5e-868f13a3f375</t>
  </si>
  <si>
    <t>ec6a60b2-f5cd-48ca-bc1d-ba5056619b1e</t>
  </si>
  <si>
    <t>93183b8d-db55-43c5-afea-a4fa797d0d11</t>
  </si>
  <si>
    <t>143b7284-9b24-4a97-a6f8-361716557e9f</t>
  </si>
  <si>
    <t>3d79a403-a4ef-495a-a7cc-0bd7f35ab2be</t>
  </si>
  <si>
    <t>cdaf26e2-be2c-4529-940f-b62c98ca216a</t>
  </si>
  <si>
    <t>1edc9375-626b-4e5e-93fb-e84afdfcf59d</t>
  </si>
  <si>
    <t>1dbbbd1b-2fcf-4ceb-94c7-70acfb477449</t>
  </si>
  <si>
    <t>af2f903e-b333-42bb-99f5-046e9597a2e5</t>
  </si>
  <si>
    <t>c71485fb-4a08-4d49-bda2-56fceba5e163</t>
  </si>
  <si>
    <t>46dc46ac-79a0-4757-833a-ec3b96e5374e</t>
  </si>
  <si>
    <t>187614e3-8dfc-4a06-8f85-0af2acd96930</t>
  </si>
  <si>
    <t>6f02aca5-00e0-4804-b13f-7588507cf41a</t>
  </si>
  <si>
    <t>d36b2960-4458-49f8-8308-9f679e681d2e</t>
  </si>
  <si>
    <t>16a5b0db-b67a-484c-b2c5-c9ab38a6ce1b</t>
  </si>
  <si>
    <t>1cfd7699-cfc5-46fb-ab58-f4a8f52016fc</t>
  </si>
  <si>
    <t>37448059-239f-44a7-8a33-5bba85629d07</t>
  </si>
  <si>
    <t>93ad346a-4c1a-4b4b-8cfc-7e59e584478f</t>
  </si>
  <si>
    <t>5dc9c8f5-faed-4686-a80d-aa7001968a14</t>
  </si>
  <si>
    <t>bf64d2c0-6eda-4e67-835f-5cfd4f393528</t>
  </si>
  <si>
    <t>3367aeb7-bdf6-40ac-851c-b7aa144700fa</t>
  </si>
  <si>
    <t>c1ac4b5a-91c2-48b8-b995-7dbbd06a36a0</t>
  </si>
  <si>
    <t>cb09ca4d-e918-44fa-8098-17df64e3e26a</t>
  </si>
  <si>
    <t>5b5f2484-c906-4bc6-bbb6-e7eb69bf0bd7</t>
  </si>
  <si>
    <t>c06bdbb5-4f8e-4771-bad2-c578c75729d4</t>
  </si>
  <si>
    <t>4487722b-4067-48b6-8edb-d916e5b3eb94</t>
  </si>
  <si>
    <t>b56a306e-2b33-40a9-9db9-8d034c8607d2</t>
  </si>
  <si>
    <t>abe3b51a-cc8f-41c0-ba43-9c0537ba9a9a</t>
  </si>
  <si>
    <t>841d5f46-b6b3-4edc-a272-09d1b4271dfe</t>
  </si>
  <si>
    <t>1a7b32ca-6054-4085-b9a0-748c01ae5498</t>
  </si>
  <si>
    <t>65f5d5ec-d6f9-4177-b335-8db7e61feed2</t>
  </si>
  <si>
    <t>67e24b77-f7ac-4fd0-a343-442e07c365e1</t>
  </si>
  <si>
    <t>238003ca-9951-49fb-820b-94a522bcc960</t>
  </si>
  <si>
    <t>e6fddf94-5f4a-4a08-894a-618a23ea4b32</t>
  </si>
  <si>
    <t>6b0b257f-8748-490f-a474-6aae27989ecd</t>
  </si>
  <si>
    <t>ee7ed6f9-62de-4cf6-b764-527960524d94</t>
  </si>
  <si>
    <t>fb655a90-d3b3-4455-b96a-5a5793b4ea4b</t>
  </si>
  <si>
    <t>494d683a-f9ba-4e10-a143-e0668cc04a6c</t>
  </si>
  <si>
    <t>63e8bb22-6bc7-4127-9771-d16a2a381058</t>
  </si>
  <si>
    <t>394a6e31-325f-4c07-a8c2-4d2f3ae1069b</t>
  </si>
  <si>
    <t>beec8cbd-86ce-4572-b4b8-9b4047b6c257</t>
  </si>
  <si>
    <t>47e9bd2e-4ae5-471f-930e-3a8f5fac3120</t>
  </si>
  <si>
    <t>43466a75-63aa-4645-a83d-199522a00f82</t>
  </si>
  <si>
    <t>f4d4f558-5587-48b6-a140-36da19bbc9b9</t>
  </si>
  <si>
    <t>4667ed6a-04a2-4163-9782-3d5942898e7f</t>
  </si>
  <si>
    <t>49ba3e13-dcb1-4f75-bb0f-85dbd78aeda9</t>
  </si>
  <si>
    <t>1092ffa8-8e82-46ff-878a-31e31027a821</t>
  </si>
  <si>
    <t>d5e688d4-1f71-4665-a0f7-2f7a61cf9f69</t>
  </si>
  <si>
    <t>c14cff61-16b4-40c4-b637-2b8f5a59e660</t>
  </si>
  <si>
    <t>5c3c6e14-ec2c-4108-8049-3b16d053eca2</t>
  </si>
  <si>
    <t>80f4692c-092b-4998-9873-de57391bd117</t>
  </si>
  <si>
    <t>341e793e-577a-4d91-88cd-5d1beae2e6f6</t>
  </si>
  <si>
    <t>6737b8ab-05e9-464c-a38c-24415baa2fdf</t>
  </si>
  <si>
    <t>f087bf39-0371-4552-83d1-9e7b0c103b71</t>
  </si>
  <si>
    <t>8a973aa6-3fe4-4d93-af93-69d56ec67f5f</t>
  </si>
  <si>
    <t>8edf4309-0006-4e82-bab1-a2628f3c87cd</t>
  </si>
  <si>
    <t>096af456-b232-4b80-8a23-deced9b72d74</t>
  </si>
  <si>
    <t>33cc066f-8405-4887-ae0d-d9213771869d</t>
  </si>
  <si>
    <t>c7155368-35a6-4128-b4f9-6593ed4eaa3c</t>
  </si>
  <si>
    <t>c61ddae7-39d2-41bc-9e65-0c4c3f163401</t>
  </si>
  <si>
    <t>d083529f-0ae5-4033-b1c2-899e6261a9b2</t>
  </si>
  <si>
    <t>38587e87-5a03-40ee-a0e5-feaeae325fb9</t>
  </si>
  <si>
    <t>6f448c2a-c954-439f-abfa-515f06b970fc</t>
  </si>
  <si>
    <t>7edfb20c-415e-4f4a-9cfd-75e8f1dc4f86</t>
  </si>
  <si>
    <t>f66da10b-fdd3-46de-8099-2dab527d3e7e</t>
  </si>
  <si>
    <t>a75e15f7-f880-4a68-bca4-c38cc04b24a3</t>
  </si>
  <si>
    <t>d2d1d8f4-3c59-4476-a632-f2414221258b</t>
  </si>
  <si>
    <t>6e9c3b87-fe86-41d7-960e-475e24aeb6ac</t>
  </si>
  <si>
    <t>4daab3a7-68e5-4b12-a393-704b7000f116</t>
  </si>
  <si>
    <t>ab5f7915-8049-40df-b2eb-ba2d94918c92</t>
  </si>
  <si>
    <t>d0aa8d36-c6a6-4856-842a-6f5deb12ec61</t>
  </si>
  <si>
    <t>41165647-3664-4f60-8d96-f894a7536b7b</t>
  </si>
  <si>
    <t>8423703a-c1fc-4d39-ba97-d4b8a75c313b</t>
  </si>
  <si>
    <t>122b2939-3584-4be1-a7d5-23173384ec16</t>
  </si>
  <si>
    <t>f486f737-9155-444d-b2df-978dd97fdb3e</t>
  </si>
  <si>
    <t>183b0c7b-c426-4779-baea-0cea23d66070</t>
  </si>
  <si>
    <t>934c979a-5e40-4996-8354-5431f52c6e18</t>
  </si>
  <si>
    <t>9937061f-8541-4157-b399-1dd0aa0566d1</t>
  </si>
  <si>
    <t>3a23fe16-da4f-4cae-afba-274f5ccfdeda</t>
  </si>
  <si>
    <t>83616840-56bb-48ff-8765-5698272ff8dc</t>
  </si>
  <si>
    <t>2911ba9c-3a51-4db0-8cfa-50c1110d2694</t>
  </si>
  <si>
    <t>ca1653dd-6abc-46df-a025-a86c217e2c5f</t>
  </si>
  <si>
    <t>afaacc05-3cb7-4b2d-a18e-6d0fb47b7180</t>
  </si>
  <si>
    <t>75d39818-8d89-42f2-99f2-baadc71805c4</t>
  </si>
  <si>
    <t>d352a2c2-0388-4eef-ab85-d5fcc33089b3</t>
  </si>
  <si>
    <t>30f74778-ff2c-4da8-9e2c-faa9ce406e62</t>
  </si>
  <si>
    <t>9e6e38f7-3741-43b3-b6d8-066c641a347a</t>
  </si>
  <si>
    <t>06659505-1ff1-4645-9e53-922ccafc72a9</t>
  </si>
  <si>
    <t>71ee8227-ca95-42fb-a8db-3baefeb3c745</t>
  </si>
  <si>
    <t>789b01cb-21a5-418b-88b9-4f1436b5c041</t>
  </si>
  <si>
    <t>24924e72-00f0-40f9-8ca0-28cb9e5f65ef</t>
  </si>
  <si>
    <t>e132f895-b20e-4439-96cd-007bf352c025</t>
  </si>
  <si>
    <t>4546641d-4dae-48d2-923d-0085e1fc193e</t>
  </si>
  <si>
    <t>9f05ca53-396a-483d-90b2-2240276a9941</t>
  </si>
  <si>
    <t>689feefb-2e0a-4ee5-ba96-f0e35db5844f</t>
  </si>
  <si>
    <t>8e432098-8d2d-4434-b8a2-e2f975ebc3dd</t>
  </si>
  <si>
    <t>57ec7d8d-af05-404b-bc42-0556fd1ae17a</t>
  </si>
  <si>
    <t>122fa691-5d97-4eed-befc-db76a789691f</t>
  </si>
  <si>
    <t>112042b8-d9a6-49eb-8bc2-ed339691f00d</t>
  </si>
  <si>
    <t>91bfcc54-c327-4578-8fc6-ceda6b1644e9</t>
  </si>
  <si>
    <t>1620a153-81cc-4bc6-bd90-d6acd30eaaba</t>
  </si>
  <si>
    <t>8981370e-2524-4475-a93f-cce8f49e958e</t>
  </si>
  <si>
    <t>87749076-5b4b-4f88-94f2-0753a51949f8</t>
  </si>
  <si>
    <t>cb66de18-45b8-4b61-8408-f1334e736469</t>
  </si>
  <si>
    <t>d89f9c70-7ae3-4544-a1e1-dc65e394348d</t>
  </si>
  <si>
    <t>9d0abb38-509c-449a-82c3-4d1373e20c07</t>
  </si>
  <si>
    <t>aa1e5107-2c74-44b5-84fc-53d587c45ede</t>
  </si>
  <si>
    <t>01f013fd-763d-4041-b42b-db2147b5f0ee</t>
  </si>
  <si>
    <t>0204f13e-84b6-4d96-9f59-7e59d6529e98</t>
  </si>
  <si>
    <t>d265e270-1761-495e-bf00-28e813f7aa12</t>
  </si>
  <si>
    <t>2636fd07-821d-4b54-ac40-7c349a7af290</t>
  </si>
  <si>
    <t>7dda0a81-5d41-4a99-b668-41df459c0942</t>
  </si>
  <si>
    <t>5d05c7c7-e909-45a7-891b-18a5cf71352f</t>
  </si>
  <si>
    <t>9f6b902f-f5dc-409d-addf-1f6ba3944b7f</t>
  </si>
  <si>
    <t>5ef4c568-966e-499f-88c7-fd68bfc9d565</t>
  </si>
  <si>
    <t>e4553732-9ff1-4351-9e2e-ea39b80dd77c</t>
  </si>
  <si>
    <t>41a7ddab-9384-43c4-9028-ff292d412f9b</t>
  </si>
  <si>
    <t>674f6659-f4bd-42a3-827b-457143759447</t>
  </si>
  <si>
    <t>dfbb23ff-4127-46a8-8d90-c629c97b12e5</t>
  </si>
  <si>
    <t>eee13a27-7f09-4fc9-9991-9558d7feef25</t>
  </si>
  <si>
    <t>289b7bb3-2b8d-4e81-996d-f1328bdf5bc9</t>
  </si>
  <si>
    <t>2b12188a-a92d-4727-b70f-51351fdfd415</t>
  </si>
  <si>
    <t>ed2ad518-c8ed-4a2e-8b6e-20c1ca68c437</t>
  </si>
  <si>
    <t>0793abde-bcf4-4bfd-987a-1f9cf2597f21</t>
  </si>
  <si>
    <t>6e1e8d0b-abab-4878-811c-b58c6a575379</t>
  </si>
  <si>
    <t>3f371667-5abd-43eb-ab1d-b053366b8904</t>
  </si>
  <si>
    <t>54172ec6-e2a6-4e3b-aa2e-388b3bb340c8</t>
  </si>
  <si>
    <t>361d29e6-06e8-43be-837a-e976bd0eba33</t>
  </si>
  <si>
    <t>7e67f958-7c74-445c-8674-9ad893d5feb9</t>
  </si>
  <si>
    <t>576fbb90-7ba9-4f36-83c6-eddc74b538fc</t>
  </si>
  <si>
    <t>c487edf8-ae7c-4d49-97a4-622258dace4a</t>
  </si>
  <si>
    <t>569e799f-9db9-48c4-8ae5-ed6fd181334f</t>
  </si>
  <si>
    <t>612f658d-be93-4418-89e7-4aa6d23eab2f</t>
  </si>
  <si>
    <t>b9895c2e-2b6c-43b0-8fa6-79978751c177</t>
  </si>
  <si>
    <t>457ef299-b700-47be-b5c6-f19641b4a616</t>
  </si>
  <si>
    <t>9edd1da3-08b0-4df8-948a-ec3ec525bb36</t>
  </si>
  <si>
    <t>11cc984e-1c3d-49a3-a775-88487ea1f6f1</t>
  </si>
  <si>
    <t>172d0f4f-eaa1-4946-b0eb-d6afb6cfa574</t>
  </si>
  <si>
    <t>4386e950-e19d-4b6b-945f-f78c6449588a</t>
  </si>
  <si>
    <t>215fef25-da45-4ccc-9bc3-a9ac9e307bb2</t>
  </si>
  <si>
    <t>c72d9996-fec6-4c7e-b506-b007c1ce395a</t>
  </si>
  <si>
    <t>4d21cce0-5255-4869-a098-e79655560cff</t>
  </si>
  <si>
    <t>3c69dd5e-0c7f-4ca4-8d78-858056143e43</t>
  </si>
  <si>
    <t>78bcd505-0567-45d2-802f-44fe396725b5</t>
  </si>
  <si>
    <t>8b734052-749e-43ed-9624-0d48bbc906af</t>
  </si>
  <si>
    <t>e01b83e6-1984-43c3-a40e-ff9e02b03de8</t>
  </si>
  <si>
    <t>ed0de843-419b-40c2-8f27-64acc3ac7160</t>
  </si>
  <si>
    <t>60370aed-99bb-48b8-a1ea-f29e9f45ca75</t>
  </si>
  <si>
    <t>f04a2a89-97d3-43c7-b323-b2b761b0921d</t>
  </si>
  <si>
    <t>69c39590-db90-486d-a71f-5c62ded63735</t>
  </si>
  <si>
    <t>be88e0f2-3fc7-43b1-ad12-1e875ed1c85e</t>
  </si>
  <si>
    <t>eb192bad-1813-4667-bbcf-42cc8c7dc560</t>
  </si>
  <si>
    <t>b79f44c9-dc2c-4ec7-899b-11df5e1c5b5f</t>
  </si>
  <si>
    <t>4192357a-f105-4a2b-b9a5-3705cd091a72</t>
  </si>
  <si>
    <t>be4a59eb-9944-4e12-b0f7-c2716464eb96</t>
  </si>
  <si>
    <t>41ab3c92-df5b-4b49-bb44-a1f3a907983a</t>
  </si>
  <si>
    <t>8bea8487-0bc9-4fd0-9b11-3b77ae2cf817</t>
  </si>
  <si>
    <t>2118b73f-700e-4810-95c8-7e3e303269b7</t>
  </si>
  <si>
    <t>4a908d2c-6b0a-4796-8090-b8bae0bf8757</t>
  </si>
  <si>
    <t>6a6231b8-f290-4335-9343-fb74360c9692</t>
  </si>
  <si>
    <t>da0c3cd1-9eb1-46b1-ba5d-1c04671b2136</t>
  </si>
  <si>
    <t>1800710f-a1d5-4748-949d-5ca4dca30232</t>
  </si>
  <si>
    <t>d149d229-07a5-4f73-b1e2-088ae55b398b</t>
  </si>
  <si>
    <t>c35697f3-5694-44f6-9e71-5875c6006bbe</t>
  </si>
  <si>
    <t>5410d83a-b5a3-4834-b594-7232111e2d30</t>
  </si>
  <si>
    <t>5ad341be-ce9a-4e86-be30-0f3f1ac2ecda</t>
  </si>
  <si>
    <t>e1a763dc-9916-42f0-a6b6-aa89463be75b</t>
  </si>
  <si>
    <t>ecafa50f-87ce-45a5-9c2e-d1508e529f5b</t>
  </si>
  <si>
    <t>3ca16382-4330-4314-98c0-49fa71544151</t>
  </si>
  <si>
    <t>09162bd1-9bbb-4cc6-b4e9-a0b460336d81</t>
  </si>
  <si>
    <t>17772b3e-097d-49b9-838d-feef64f2b00c</t>
  </si>
  <si>
    <t>a264c93b-03cf-4aaf-b46f-8382c0146e55</t>
  </si>
  <si>
    <t>81690e94-3022-4ee8-b922-4c63126b88a3</t>
  </si>
  <si>
    <t>3f4c4ad0-b292-4fd1-a332-2b779faddd35</t>
  </si>
  <si>
    <t>f8e25cf9-ada1-4b92-a426-2bd374afbe55</t>
  </si>
  <si>
    <t>ad18e707-6676-4098-8f20-c853c421276c</t>
  </si>
  <si>
    <t>4ca00d6f-f743-4078-bd08-836d3ebb1d7b</t>
  </si>
  <si>
    <t>9dab6100-2933-426e-b330-c098b4ccdad7</t>
  </si>
  <si>
    <t>2864bcaa-5506-48de-9cd7-3dbf738738ba</t>
  </si>
  <si>
    <t>fc70b6bd-4aa3-457a-bfe2-e43c93f61b2c</t>
  </si>
  <si>
    <t>c802cb67-81ff-4bdf-ba34-f7b5b7fba052</t>
  </si>
  <si>
    <t>e1e06680-b7eb-4279-8986-2f295bae9f05</t>
  </si>
  <si>
    <t>82dbba5a-e138-4246-a289-a37f4cc4c8a9</t>
  </si>
  <si>
    <t>6cfc222b-c912-4ca1-976f-a291eab43fd0</t>
  </si>
  <si>
    <t>02dad444-1206-4ea4-9405-487e8e30f59f</t>
  </si>
  <si>
    <t>9b0f4baf-77a0-4ba4-9e54-ce322a56c44a</t>
  </si>
  <si>
    <t>becbfde8-c64e-4d3f-8020-f43b5f75e214</t>
  </si>
  <si>
    <t>24216f89-1614-449a-8de7-24716a681517</t>
  </si>
  <si>
    <t>5acfa3ba-3953-4ac6-a808-e0048dffbc72</t>
  </si>
  <si>
    <t>fba3d3a4-217e-489f-9a62-0243703c8368</t>
  </si>
  <si>
    <t>52695f56-c323-4f50-be71-ece8621ea71a</t>
  </si>
  <si>
    <t>174cc5be-82b5-4afd-ad46-64ee7318ab76</t>
  </si>
  <si>
    <t>794a9388-5912-4a13-be43-f27ca52e03cb</t>
  </si>
  <si>
    <t>0afbd436-7dd2-4073-b3fb-6410ffd18f82</t>
  </si>
  <si>
    <t>f12ce1b2-6376-488b-b307-5d883eb48266</t>
  </si>
  <si>
    <t>cdf9d473-9e1d-4cd2-a4e7-8df7f89e978f</t>
  </si>
  <si>
    <t>7a8fe9ec-743d-4c68-98dc-37b661c63a6a</t>
  </si>
  <si>
    <t>90b9fdb1-0ba6-4b80-b0f4-a15fb69bc034</t>
  </si>
  <si>
    <t>d999571b-d651-45e1-87c2-9ed7697a8b27</t>
  </si>
  <si>
    <t>4aca0bfc-d43e-46cd-b5a1-2163b5c5c393</t>
  </si>
  <si>
    <t>e91b273f-fce0-40f8-a97d-a180d8001e51</t>
  </si>
  <si>
    <t>a1afc5b7-c2ad-4200-8fe5-ae6e6788c966</t>
  </si>
  <si>
    <t>4189dc24-2e33-4c83-b992-ec7989a76a1f</t>
  </si>
  <si>
    <t>c4d0edda-8de2-4caf-8abd-211702a6c306</t>
  </si>
  <si>
    <t>530a2313-f9fb-4366-a5ef-1d541a74a95d</t>
  </si>
  <si>
    <t>b4c9140c-852e-4c58-88e4-e0b8c9680e92</t>
  </si>
  <si>
    <t>7e9d90b1-29cc-4385-8443-0ae5ab6075e5</t>
  </si>
  <si>
    <t>d2647003-fc3f-40bb-bd1c-19a8d456198a</t>
  </si>
  <si>
    <t>cad933ef-7fcf-41fb-a40c-f752da5037d6</t>
  </si>
  <si>
    <t>6c21a958-1e90-41f2-b78c-02a168f452b5</t>
  </si>
  <si>
    <t>d01fa6e6-fccc-4c3d-a985-6a1ccf344813</t>
  </si>
  <si>
    <t>92510143-e303-410a-a0ef-2429ba5803b1</t>
  </si>
  <si>
    <t>7e232079-d3b5-4333-90b3-eb0257f9ca23</t>
  </si>
  <si>
    <t>a263313a-66ad-4397-9202-1f0ff7a09de7</t>
  </si>
  <si>
    <t>33b4da18-6be4-4b32-b8b4-27e553ae171f</t>
  </si>
  <si>
    <t>e6636ce3-f53c-4957-bb89-706499981819</t>
  </si>
  <si>
    <t>f454e61f-7b30-44f5-a016-7661752f6739</t>
  </si>
  <si>
    <t>4547037f-69df-4025-b1b8-e8806317a146</t>
  </si>
  <si>
    <t>3afac5f2-44f2-4138-867b-a53c6d6e8cc6</t>
  </si>
  <si>
    <t>ba80c569-7b0e-4ba1-87ad-2837685f0d06</t>
  </si>
  <si>
    <t>f9229d48-cec2-4f3d-b574-e8ce33ffba73</t>
  </si>
  <si>
    <t>dd2c613c-5826-4511-9e6f-07b8113cad7b</t>
  </si>
  <si>
    <t>26726b72-1104-4bb2-a335-61d87b7bad0e</t>
  </si>
  <si>
    <t>5eb072c1-3585-404b-bbc3-5530b9b96357</t>
  </si>
  <si>
    <t>720eb1d7-c433-4edc-98c0-982d48be5de8</t>
  </si>
  <si>
    <t>9deb73ba-ba69-40bc-951e-fea73487b1d2</t>
  </si>
  <si>
    <t>7df8e380-c73b-4227-bda5-37f807e41b3b</t>
  </si>
  <si>
    <t>18ded498-0e1b-421e-b21c-4e270132bd9f</t>
  </si>
  <si>
    <t>a606eaec-cb60-461b-b895-413dceb7dafc</t>
  </si>
  <si>
    <t>2e949a3f-792d-4a73-90d2-7dc6eadf8d42</t>
  </si>
  <si>
    <t>42629d94-1f3c-427d-8f0a-9515c8d4eed9</t>
  </si>
  <si>
    <t>08ec9372-ae72-422d-9c10-95481a539fe7</t>
  </si>
  <si>
    <t>efbbae52-a110-43d4-85f9-2981f09194c6</t>
  </si>
  <si>
    <t>3ab3191f-8f2b-466b-aa6b-f968da3870df</t>
  </si>
  <si>
    <t>9b2e14cb-afcd-43d9-a07e-27931d764df9</t>
  </si>
  <si>
    <t>7dba45d8-def7-4177-b128-2a76175ef797</t>
  </si>
  <si>
    <t>a9cf3582-4ded-4d65-a3bf-c8443ece293b</t>
  </si>
  <si>
    <t>6ee61447-c717-40ad-9455-c7eb5f32de31</t>
  </si>
  <si>
    <t>972c9489-f86d-4301-9198-5650414de43f</t>
  </si>
  <si>
    <t>f610ca65-f4ce-48e5-afd2-13b525806830</t>
  </si>
  <si>
    <t>e21d357f-e6c7-43e0-a326-d9907bba9c30</t>
  </si>
  <si>
    <t>9b920fd2-9d75-4ff1-b754-a73c4d5fc8e5</t>
  </si>
  <si>
    <t>a349cf88-e6c8-4bb2-a714-845b478b3d09</t>
  </si>
  <si>
    <t>f754587e-3d0d-4c0d-8784-31d57fa26fc7</t>
  </si>
  <si>
    <t>27e0bca0-1c34-4975-8ed9-372e42bcd130</t>
  </si>
  <si>
    <t>d2609b7e-14fe-4671-a895-53a686562ca2</t>
  </si>
  <si>
    <t>dc03d520-a24b-44a0-9e36-52980ded83c5</t>
  </si>
  <si>
    <t>4babc932-db9a-4cea-a074-4187782e9e73</t>
  </si>
  <si>
    <t>e313f500-0c4f-4135-9759-293d0422b01c</t>
  </si>
  <si>
    <t>38cd7724-11ce-4454-aa26-5c5bb4757f01</t>
  </si>
  <si>
    <t>7336a83b-3995-4814-975e-3612b836d698</t>
  </si>
  <si>
    <t>4e5a56f0-b557-40ce-a197-58b2ebebb04e</t>
  </si>
  <si>
    <t>560472e6-b6e2-4189-b2d1-1aa6cdd2c043</t>
  </si>
  <si>
    <t>efaa4aa3-078f-4e21-b841-0045edb78e79</t>
  </si>
  <si>
    <t>5594ba0b-68b9-47c5-a869-76038c7f275a</t>
  </si>
  <si>
    <t>8692f994-6504-4e53-99b1-e186bb0f8cbb</t>
  </si>
  <si>
    <t>b15e1a39-2671-4a8e-8bef-6f1977125cfa</t>
  </si>
  <si>
    <t>60d549a4-358c-41a5-9fdc-b1208ce33a1b</t>
  </si>
  <si>
    <t>b64c460f-6783-4d9c-b6b5-c88824bc2a9a</t>
  </si>
  <si>
    <t>0f6b7e67-eb47-46da-bd44-f7c697af12d9</t>
  </si>
  <si>
    <t>b3a59759-3032-409c-a78a-2000c54c4716</t>
  </si>
  <si>
    <t>27de3427-ae0a-4d13-b6e9-f310ff3c10a9</t>
  </si>
  <si>
    <t>de5481c2-2554-4bc5-b496-dc1644dfc6e5</t>
  </si>
  <si>
    <t>24752ac9-9750-4c84-8ab8-aa491fa38f93</t>
  </si>
  <si>
    <t>9da6e0a8-6227-4097-85f1-12127770658d</t>
  </si>
  <si>
    <t>0a45010d-9508-48e3-8761-c7d766b74245</t>
  </si>
  <si>
    <t>1f2a5788-0dc6-4fe1-93cc-73fd649878c7</t>
  </si>
  <si>
    <t>581b541a-ca49-4c52-9bb4-a3f52bd094b2</t>
  </si>
  <si>
    <t>703d96d7-e28a-4bf8-ae48-298e258fc5df</t>
  </si>
  <si>
    <t>9e360332-3cca-4037-821a-62ee756cbb8e</t>
  </si>
  <si>
    <t>ed482e46-4748-41bd-b43e-e9853d031f2d</t>
  </si>
  <si>
    <t>a0703788-30d8-48de-a196-172684075857</t>
  </si>
  <si>
    <t>22726760-4f1c-4f12-93ce-3c7ce2e3a518</t>
  </si>
  <si>
    <t>4ad9b0f3-038e-4b9f-b72f-4b5c3b987ad4</t>
  </si>
  <si>
    <t>4951440c-649e-4967-9d9f-c8434ddde893</t>
  </si>
  <si>
    <t>090463d2-809c-4788-8367-119fe5ec0089</t>
  </si>
  <si>
    <t>342d7565-2f7c-4933-8873-833f0e56853f</t>
  </si>
  <si>
    <t>719a114e-cefe-461f-a3b5-948883a755b5</t>
  </si>
  <si>
    <t>b70a8f51-f043-4581-85ec-2a9e1d5e36aa</t>
  </si>
  <si>
    <t>39a24d69-163c-4ad9-ac4a-f335200556ac</t>
  </si>
  <si>
    <t>59de6a21-8e4a-4a2b-8344-c14c13e3feb1</t>
  </si>
  <si>
    <t>7e9e0496-e451-470a-88f9-78a811b48a3a</t>
  </si>
  <si>
    <t>abd0cfde-0209-470a-b9c7-fe4f57df41e3</t>
  </si>
  <si>
    <t>499b43b9-8b5a-41a0-a9dc-db19f8789636</t>
  </si>
  <si>
    <t>b44bbfa2-8de9-4429-a2a9-54014a8da263</t>
  </si>
  <si>
    <t>70600fcf-5bea-4b17-b39d-b1ea73a2e69f</t>
  </si>
  <si>
    <t>6660fde7-927a-4865-985e-c47c08854b2d</t>
  </si>
  <si>
    <t>46033b1c-f4bc-4db2-8c4b-384ea1ee18c5</t>
  </si>
  <si>
    <t>ff53d42f-ae9f-49a8-ae3d-f1ac6c1be3bc</t>
  </si>
  <si>
    <t>3999d674-88d1-4dad-9d9e-40dafaee6b7f</t>
  </si>
  <si>
    <t>07afa983-b80a-4181-a4e9-e714fc3a928c</t>
  </si>
  <si>
    <t>246a83f5-718a-4e2b-847f-dedb9aad2633</t>
  </si>
  <si>
    <t>4619f7c4-c443-44ba-a4f4-aa1fd581d8b3</t>
  </si>
  <si>
    <t>4820f1d8-3167-4686-b803-217247fb3df0</t>
  </si>
  <si>
    <t>1ce850cd-5cde-40f6-bf5e-37090e7d278e</t>
  </si>
  <si>
    <t>d5d32a87-235a-4031-9077-8cba1a80f268</t>
  </si>
  <si>
    <t>3a6b3bd9-18a0-4a90-8cdd-b4a0ab80ad7a</t>
  </si>
  <si>
    <t>6c0719e7-df9e-411e-96ea-6abb42c5b098</t>
  </si>
  <si>
    <t>7004be79-9cba-4b6b-b6eb-a9c89c160b4a</t>
  </si>
  <si>
    <t>34e8d9fc-6e03-4496-9d2b-f1310a4337dd</t>
  </si>
  <si>
    <t>d145f917-6d6d-4222-8484-bf8beb4f7629</t>
  </si>
  <si>
    <t>1ad66aeb-34e1-42aa-b739-006ac2a09e7e</t>
  </si>
  <si>
    <t>d2c9140b-fcf8-4048-9312-89a0cd74d329</t>
  </si>
  <si>
    <t>41b6fc92-d3eb-4a41-a660-f01137eb4530</t>
  </si>
  <si>
    <t>d5213548-4731-4372-b02b-c2334c35cc2c</t>
  </si>
  <si>
    <t>c1e31d42-e943-4ba2-a16f-e70ebe011993</t>
  </si>
  <si>
    <t>7ae4a9b8-f115-4477-aedd-4fe31fb394f7</t>
  </si>
  <si>
    <t>ca42cf84-1a82-40a1-95f4-985383e75a04</t>
  </si>
  <si>
    <t>3892770b-7269-4626-8933-68aff4106a59</t>
  </si>
  <si>
    <t>ebddbe2e-065b-4f1d-8289-560386638a92</t>
  </si>
  <si>
    <t>72618e9e-07c4-494f-8332-502b9e48ffa7</t>
  </si>
  <si>
    <t>8129a069-318f-48eb-9b36-c76b37c049d0</t>
  </si>
  <si>
    <t>cf40dd64-9529-47fe-9cc3-4074ddb7b321</t>
  </si>
  <si>
    <t>8ac119af-7f38-4375-9981-2764e274b3b3</t>
  </si>
  <si>
    <t>3f1f3f1d-87aa-48b4-87d4-6e579023d51c</t>
  </si>
  <si>
    <t>39a23c52-6040-475a-95bd-0caa890c14af</t>
  </si>
  <si>
    <t>d23186db-c122-442a-8b63-c06f4dd943cd</t>
  </si>
  <si>
    <t>8962f5a5-f3f6-4ee4-84c2-6331a93f6b26</t>
  </si>
  <si>
    <t>ddcec8b5-8f11-49a8-af6f-3f0ea224bdf0</t>
  </si>
  <si>
    <t>ec787a44-a663-44d4-8af3-baae9056c040</t>
  </si>
  <si>
    <t>132cf571-b288-448d-b3af-623f4bc801b7</t>
  </si>
  <si>
    <t>c143c4b0-c566-4558-b543-478f8ed66c65</t>
  </si>
  <si>
    <t>f1968034-078d-47f5-979e-1eff214c8e29</t>
  </si>
  <si>
    <t>e03810fd-33ad-4fd1-83a5-67356f744f3e</t>
  </si>
  <si>
    <t>2354ba18-b651-486b-b1b0-c791a92f3360</t>
  </si>
  <si>
    <t>a989c884-8b47-4bff-b42b-701b78ac95a6</t>
  </si>
  <si>
    <t>b27f08d9-7f8b-4cee-a8cc-164c81a03b81</t>
  </si>
  <si>
    <t>68a39b2a-5b57-4078-91de-78b281427f44</t>
  </si>
  <si>
    <t>7f801a0b-e090-46af-ada5-8702ac216221</t>
  </si>
  <si>
    <t>ccb46e0b-723f-4c00-a3e5-5c234272e2a8</t>
  </si>
  <si>
    <t>d54d8bbd-d635-4579-9e76-eb83dc9fc944</t>
  </si>
  <si>
    <t>a7e52b25-a801-4c0e-a171-c306d2b2f7c7</t>
  </si>
  <si>
    <t>c2e73f86-4fdd-49bf-95a1-ad41ea9d14bc</t>
  </si>
  <si>
    <t>3f024f5f-8c5a-45e1-95c8-b389516719ce</t>
  </si>
  <si>
    <t>5c12bd17-6ff1-4939-98f5-4995f39deddb</t>
  </si>
  <si>
    <t>80f80938-5041-4e12-a121-86297dc30057</t>
  </si>
  <si>
    <t>db23fadd-8cdb-43d9-a334-6540fa700351</t>
  </si>
  <si>
    <t>5d8855e7-db5d-4508-8b0e-3f45f8da6d34</t>
  </si>
  <si>
    <t>eb14d4b2-9152-4012-b9f1-2390499f1f42</t>
  </si>
  <si>
    <t>34d1abec-21ec-44fe-9962-c22fcea01812</t>
  </si>
  <si>
    <t>00519acd-ae80-48a1-8769-3c2342157574</t>
  </si>
  <si>
    <t>7ee74581-a1ad-4ba2-94c8-fb3d7c0f1a75</t>
  </si>
  <si>
    <t>9f1d488d-7fdf-47d6-8c49-5ba1ceb2d10e</t>
  </si>
  <si>
    <t>8c06a118-9afb-4834-a0c9-86abb98b301e</t>
  </si>
  <si>
    <t>55a1f9b8-34dc-40ca-bc6f-eb08db7db32e</t>
  </si>
  <si>
    <t>2da802d2-94d3-4472-b784-ebff2b54f2cf</t>
  </si>
  <si>
    <t>615332fc-b6dd-46fc-bfaa-e91fede672d5</t>
  </si>
  <si>
    <t>2ca3a4b5-1098-4fa3-a28c-060f0a4e5128</t>
  </si>
  <si>
    <t>998a26bf-ee2a-4269-a257-ce5e0f62ed73</t>
  </si>
  <si>
    <t>6cf572c9-b1d5-476c-ab9e-7b015f99df08</t>
  </si>
  <si>
    <t>2380afe1-7bf1-4958-9fca-2fdf7ac2fb77</t>
  </si>
  <si>
    <t>760324f3-819a-4295-bef1-4248ee428790</t>
  </si>
  <si>
    <t>50d18a8f-631d-4fff-aed3-ef306612e093</t>
  </si>
  <si>
    <t>87d99431-7514-437d-bd56-79ccfbddcd92</t>
  </si>
  <si>
    <t>9a7dc915-42e0-405d-a843-ac43dbfa59a2</t>
  </si>
  <si>
    <t>a1746f66-7c09-4685-94ab-bd3e91fcdbd5</t>
  </si>
  <si>
    <t>84f41834-bf12-4f38-bb69-dba750dc4a22</t>
  </si>
  <si>
    <t>69d630c1-10ba-48d9-9156-2678f353e3e5</t>
  </si>
  <si>
    <t>615b0b5a-a01a-42c2-8a21-f9db9b0a3713</t>
  </si>
  <si>
    <t>7324279e-2b2b-4b7b-9aa0-5da020440cf2</t>
  </si>
  <si>
    <t>51875335-856f-4af4-805e-c641761405a5</t>
  </si>
  <si>
    <t>5d58da82-5bf9-47cc-b930-8295fd91e35a</t>
  </si>
  <si>
    <t>186eccf2-fbc2-49ba-803d-0acea35c9db1</t>
  </si>
  <si>
    <t>d57899d7-d283-45d8-8b99-c044d4de39ad</t>
  </si>
  <si>
    <t>bacea7ed-11bb-41f0-b02c-dd4f8ef373b2</t>
  </si>
  <si>
    <t>12240f25-636d-4678-8ce6-429c04774744</t>
  </si>
  <si>
    <t>ea8133ae-c5df-4a77-b526-368a9c9d525c</t>
  </si>
  <si>
    <t>1ef7aac6-39bb-47a2-8699-61810d65ef79</t>
  </si>
  <si>
    <t>64604979-b606-40cf-9476-092fdb50ffb4</t>
  </si>
  <si>
    <t>ad4db701-c4fa-472c-bf28-ca1d09a833f7</t>
  </si>
  <si>
    <t>740d0ae7-d5a2-42f6-b51f-400ee0810747</t>
  </si>
  <si>
    <t>e1666f72-0692-4535-8ecb-bf6cd03ebc78</t>
  </si>
  <si>
    <t>694667c4-7912-453b-ad68-54b2244ba7fd</t>
  </si>
  <si>
    <t>0487acf8-d30e-425a-8b08-cb4bdfbca8ba</t>
  </si>
  <si>
    <t>bf4b5685-251d-4f91-be0e-869b6b7cd8de</t>
  </si>
  <si>
    <t>dbd11a5c-9618-4880-8a09-2b29d71f4f20</t>
  </si>
  <si>
    <t>e9683677-341d-4cc7-9844-743457fd1d94</t>
  </si>
  <si>
    <t>1ca1f3e6-478c-4759-bd3b-fe3ce10062bc</t>
  </si>
  <si>
    <t>f3a6b663-537a-4462-956f-be7ac78a47c0</t>
  </si>
  <si>
    <t>3f165962-1119-4a77-938a-253c902df66e</t>
  </si>
  <si>
    <t>56b5ce60-e8cf-4587-b460-5d4f3280dc42</t>
  </si>
  <si>
    <t>9de7718c-6ede-4273-921c-38dd93204523</t>
  </si>
  <si>
    <t>3a39f187-12e0-4de1-b563-d82db8b29e8d</t>
  </si>
  <si>
    <t>7ad54edc-7b66-43e8-970d-ebe798d550b1</t>
  </si>
  <si>
    <t>bd36743e-cb6b-43d9-8166-1b8efe8a3990</t>
  </si>
  <si>
    <t>7c9596ff-377a-439b-a6cf-c8b9a108536c</t>
  </si>
  <si>
    <t>6f182318-5d8d-48e2-a881-7d4e8edec5aa</t>
  </si>
  <si>
    <t>64b75a11-67c5-4d2a-b80a-9c69eb9e9f7f</t>
  </si>
  <si>
    <t>f655d220-fd31-4d15-9d69-b797987b75ef</t>
  </si>
  <si>
    <t>ec35d1d2-5cc9-4723-82cc-c5f6a80cc031</t>
  </si>
  <si>
    <t>76f3c54f-e284-49e5-b8f6-e3b8e21c85f6</t>
  </si>
  <si>
    <t>bd121af2-7e67-4a10-9767-1eef49fcac48</t>
  </si>
  <si>
    <t>62702924-910a-42f5-b1d1-091f0f37584f</t>
  </si>
  <si>
    <t>83ed8bb1-5451-4fef-8457-a31e1ad9e83c</t>
  </si>
  <si>
    <t>b8b3916d-7c1e-4f73-be72-dd28e16e33b1</t>
  </si>
  <si>
    <t>bfbea86a-3720-4bcb-8d48-5b883b7d7f59</t>
  </si>
  <si>
    <t>3305ae36-5427-45a4-a7cb-e1633ba411e2</t>
  </si>
  <si>
    <t>1c280342-cbaf-491d-b45f-9c0995f07004</t>
  </si>
  <si>
    <t>e17e8cd5-9d11-4362-b43f-e8492e992156</t>
  </si>
  <si>
    <t>1f705c8e-5857-48f8-87b7-2d6c51c05d3a</t>
  </si>
  <si>
    <t>53b6778a-f583-4de8-a384-45f73d8966e1</t>
  </si>
  <si>
    <t>1e21a7e4-421d-41b4-adc8-5d36bff957d5</t>
  </si>
  <si>
    <t>2aaf9473-c6e0-45da-826d-aa67072adb7e</t>
  </si>
  <si>
    <t>3d397aed-1419-4549-851c-58a661007b51</t>
  </si>
  <si>
    <t>0a708d85-aa50-44b9-aed8-3d032e36679b</t>
  </si>
  <si>
    <t>2bdd2e79-1043-4ac4-ac3a-acc22436b6f8</t>
  </si>
  <si>
    <t>b6523e71-38b7-4719-a50d-86364ccbe5fb</t>
  </si>
  <si>
    <t>840c6918-b6de-4f13-b9f9-5bf17c0ade51</t>
  </si>
  <si>
    <t>e23be9d8-1a95-4141-91f8-1a76ffa499fc</t>
  </si>
  <si>
    <t>5c4d2527-bd59-4260-8aff-5a570044fb6c</t>
  </si>
  <si>
    <t>f638e61e-2f0c-4d96-b769-6b750d843eea</t>
  </si>
  <si>
    <t>477d712b-0c11-4557-ac68-ab8a7891d0ba</t>
  </si>
  <si>
    <t>5dd17598-dbc1-4af0-b291-2f6587f2e01c</t>
  </si>
  <si>
    <t>21db8017-18ac-49e6-83ef-0a786f7d9964</t>
  </si>
  <si>
    <t>b52fad6b-78a6-4fce-821f-b5d1512467df</t>
  </si>
  <si>
    <t>b18cbc04-e6d2-40e2-bf4c-5e6425f63415</t>
  </si>
  <si>
    <t>c768f24e-f396-497c-b964-d7f627009d0a</t>
  </si>
  <si>
    <t>7b00ae93-f8b6-458c-8e5c-82721543dd0c</t>
  </si>
  <si>
    <t>9c48d85c-e159-4a3f-b562-e68af777e792</t>
  </si>
  <si>
    <t>c59db7c0-4efa-40d6-a0b4-7ecc147e29ae</t>
  </si>
  <si>
    <t>5dd40221-e9c3-4cdb-b291-f74cb098f881</t>
  </si>
  <si>
    <t>f9685570-3b6e-4d45-8e19-83fb33e4cb9d</t>
  </si>
  <si>
    <t>157f0682-9d8d-473a-bc77-476123e3694c</t>
  </si>
  <si>
    <t>9df75584-9962-4ee6-8cf8-6add3e501617</t>
  </si>
  <si>
    <t>f09c7e89-305d-45dd-90aa-b67c7df9ea7a</t>
  </si>
  <si>
    <t>58aea2d1-5496-4469-94e6-b3a2da5c2c53</t>
  </si>
  <si>
    <t>0396c2ba-ca28-4757-b392-88364fbf1fe7</t>
  </si>
  <si>
    <t>5ba094c6-75d0-4a5b-bb63-33d4b5acd389</t>
  </si>
  <si>
    <t>d9908323-dbc7-436d-b46e-9e29faa60edb</t>
  </si>
  <si>
    <t>970cfeea-d308-4cce-9037-9c93b6fcdc41</t>
  </si>
  <si>
    <t>79e6e4f4-9219-43d4-917e-e26e8a77d140</t>
  </si>
  <si>
    <t>6810cd5a-1354-4f9e-95d4-30d15003a929</t>
  </si>
  <si>
    <t>07735111-bc1b-4a72-bcb3-d594ebd206b5</t>
  </si>
  <si>
    <t>fd1ed374-1728-4015-9ede-d8330cd6d502</t>
  </si>
  <si>
    <t>6e89b2e3-e06f-4952-8687-813faf0f80dd</t>
  </si>
  <si>
    <t>2a98cc0b-41e7-405f-8cfe-624e42913097</t>
  </si>
  <si>
    <t>72ffae7b-0b4d-494f-a3dd-31f578dd0725</t>
  </si>
  <si>
    <t>4c81ce6a-870c-4f1e-b238-b991fa88b0d7</t>
  </si>
  <si>
    <t>9f1653e2-f641-4f3e-bacd-7350484b4d99</t>
  </si>
  <si>
    <t>5c2a013e-a516-4c2a-b177-50efbe6a96ae</t>
  </si>
  <si>
    <t>215197fa-5091-49b6-a5c3-e9ecc85b0a25</t>
  </si>
  <si>
    <t>7246c4dc-d1cc-41d2-a94d-737ad6602b3a</t>
  </si>
  <si>
    <t>b4339dcb-ab95-4f07-969f-2560a28434ab</t>
  </si>
  <si>
    <t>d21121a8-f2a9-4f48-9a8e-bf758666c1ae</t>
  </si>
  <si>
    <t>4c0ef652-fe7c-4556-af40-de6de89f5fee</t>
  </si>
  <si>
    <t>fdecd0e4-f8e1-473f-8830-f10ccd69ed5b</t>
  </si>
  <si>
    <t>8e21762f-2470-4a26-8b77-cc202caaadbb</t>
  </si>
  <si>
    <t>ee231f61-2265-4aa8-8c41-dcaa5a9dad43</t>
  </si>
  <si>
    <t>123f5901-5bee-4f03-8e5d-3e7cc6bab9c8</t>
  </si>
  <si>
    <t>b5d53a0d-6397-40cd-9e3e-9db62dd7ed6a</t>
  </si>
  <si>
    <t>678388aa-195d-4ca6-8162-3c74abd9470d</t>
  </si>
  <si>
    <t>c1eff8c2-3392-4342-9154-aa53e99a16b3</t>
  </si>
  <si>
    <t>471d6409-a04f-4d1d-98de-8ea8f5738ee6</t>
  </si>
  <si>
    <t>9351065b-8d4e-4f87-a9a1-dfbbddfddaf2</t>
  </si>
  <si>
    <t>934e8af8-0007-451c-ae57-fcde72852511</t>
  </si>
  <si>
    <t>36e5c410-27df-49dd-aeb7-2db5b0948b73</t>
  </si>
  <si>
    <t>eb7cfd1a-366e-4148-befb-024bdc8a27b2</t>
  </si>
  <si>
    <t>a25fdeca-d8af-4ee6-81e1-95455834baa9</t>
  </si>
  <si>
    <t>6b5d7c7e-9537-4215-bc0d-05d31a4c0292</t>
  </si>
  <si>
    <t>668b4d64-499e-4610-9286-9f75df74a3e3</t>
  </si>
  <si>
    <t>e97ec544-d680-4ff0-b93e-6621c4eefeb9</t>
  </si>
  <si>
    <t>49cc536c-5b34-4927-a27f-b6d31ec24605</t>
  </si>
  <si>
    <t>ab5aba17-4b2f-4daa-b7e3-c050ecdc0008</t>
  </si>
  <si>
    <t>4dd82769-0163-4cc9-a7b7-7439513b1a18</t>
  </si>
  <si>
    <t>9312846b-d4c8-41c7-b16c-459100d73705</t>
  </si>
  <si>
    <t>8138f5a2-b29c-482a-96f7-23c28762abb1</t>
  </si>
  <si>
    <t>9a705ca2-4835-4a7e-af71-e02c3acdf5e8</t>
  </si>
  <si>
    <t>2c53a38d-73b2-41c1-91c5-d8c1a7249dcf</t>
  </si>
  <si>
    <t>e8bc884a-d96e-4df9-938e-29b7d651f207</t>
  </si>
  <si>
    <t>095bbb07-1239-4f06-ac88-b7f85289bddd</t>
  </si>
  <si>
    <t>c0e9e284-ece7-4bba-b066-0ced22554a45</t>
  </si>
  <si>
    <t>f8fcba8d-f90c-4d44-bf66-97e0334cafcd</t>
  </si>
  <si>
    <t>b4ad7f5c-14b1-4c1d-a810-5923b2729e9b</t>
  </si>
  <si>
    <t>ee7ae75f-a658-4592-95f1-279a373f6b95</t>
  </si>
  <si>
    <t>ac13b712-895f-4728-a2fe-38254ad8ed50</t>
  </si>
  <si>
    <t>fe8c9784-1cfa-4921-8ed9-1b63ab15b97c</t>
  </si>
  <si>
    <t>d533e9fa-1702-4a6d-b40f-7fd26ccce46d</t>
  </si>
  <si>
    <t>e1a0109e-d370-450d-9235-feee4e7eb6e0</t>
  </si>
  <si>
    <t>987e8470-27a4-4a65-b7ed-2bcbcffd1ea6</t>
  </si>
  <si>
    <t>bace5298-eb0b-4992-9924-89a2aabc7ada</t>
  </si>
  <si>
    <t>ca8964fc-2a03-4058-ae24-c3c279b406f8</t>
  </si>
  <si>
    <t>0dc2e503-619f-43e5-ad94-0213f4e720d6</t>
  </si>
  <si>
    <t>c4e9c441-2007-4895-8e44-8c0607dabcd2</t>
  </si>
  <si>
    <t>cb55f431-a39e-45eb-bb7b-5c81c6974283</t>
  </si>
  <si>
    <t>798ccf3f-70ff-4077-8a37-c6241d0af454</t>
  </si>
  <si>
    <t>21cb07e5-c1f2-47e6-832e-3a5178963e7b</t>
  </si>
  <si>
    <t>81b31783-7709-4f88-983f-f252f6498783</t>
  </si>
  <si>
    <t>e1eb0728-40b7-4721-920d-eb3afb14afa7</t>
  </si>
  <si>
    <t>97fc5a27-c7de-41c4-8a30-e83c833e6cc8</t>
  </si>
  <si>
    <t>e5c25042-80fb-48ea-9d1b-7bcb9e54fcdf</t>
  </si>
  <si>
    <t>9e8705ca-26e6-4598-9a04-c1469fcf755b</t>
  </si>
  <si>
    <t>64f0c290-d59f-4b76-8c77-942d6ecb62dd</t>
  </si>
  <si>
    <t>f3455989-547b-41af-9b0c-43fb5775fef9</t>
  </si>
  <si>
    <t>df4d03ff-793f-4200-978f-b981eef80644</t>
  </si>
  <si>
    <t>bc2b8979-8fd3-4488-b815-1b7412131ef3</t>
  </si>
  <si>
    <t>c437ff94-fcbc-4b60-b9ab-f16ad2956983</t>
  </si>
  <si>
    <t>f0fcba20-b151-4e21-9f4f-7e10dbb5c648</t>
  </si>
  <si>
    <t>8b0268dc-9417-44e6-b5c8-88b8c05d4a06</t>
  </si>
  <si>
    <t>f6623095-969d-455c-ab0a-8da8748a0116</t>
  </si>
  <si>
    <t>baf8eeb3-619a-4bfb-a073-697e402a53e2</t>
  </si>
  <si>
    <t>2a598d8d-a39d-449d-a9ad-a41c359030c4</t>
  </si>
  <si>
    <t>c4b45252-c8cc-4408-8673-7576d7e2086a</t>
  </si>
  <si>
    <t>9170cf9e-af7d-41b5-8031-ff6a3e82dd49</t>
  </si>
  <si>
    <t>6a925154-27d6-4530-9314-c67e7f116af2</t>
  </si>
  <si>
    <t>7c7f36ba-faf5-49b9-95db-b808907341ae</t>
  </si>
  <si>
    <t>f6e70aac-2062-49b7-9b4f-d2ee31a71fb2</t>
  </si>
  <si>
    <t>6eda4c13-667d-4096-8ef1-47e6633828ad</t>
  </si>
  <si>
    <t>f6014119-f9bf-452f-bfe3-f8def6ab3089</t>
  </si>
  <si>
    <t>34c8038f-4970-4667-9f6b-c44615b0d6cb</t>
  </si>
  <si>
    <t>d1fcabc7-2363-4fad-8025-942d2475668b</t>
  </si>
  <si>
    <t>38dc8527-b9ba-49e2-90fa-99dc3ea9fe77</t>
  </si>
  <si>
    <t>0d930b1b-f932-4240-b486-397724eb2d92</t>
  </si>
  <si>
    <t>26581880-23f3-49c1-839b-d222fa00111e</t>
  </si>
  <si>
    <t>2cebfb7d-f738-44ba-b139-194ae693604c</t>
  </si>
  <si>
    <t>f5cada5e-0921-4736-a716-c54ba65d1c98</t>
  </si>
  <si>
    <t>0d25b40e-913b-41c2-a793-429526158fae</t>
  </si>
  <si>
    <t>b81c5d4d-25b7-4374-934e-115f5685d231</t>
  </si>
  <si>
    <t>2c5a529b-8d0e-4651-aae1-2a07fc390d64</t>
  </si>
  <si>
    <t>b4003eca-15be-4b21-abb1-110740c65751</t>
  </si>
  <si>
    <t>567ec604-24e2-4bf1-b901-14e997d094d0</t>
  </si>
  <si>
    <t>51827cba-9350-4565-af60-edc0a3ad926b</t>
  </si>
  <si>
    <t>f656fe6d-c83e-4d4b-89e0-5fade7cbb756</t>
  </si>
  <si>
    <t>4f500d46-53db-4b8d-956b-d06615d715fc</t>
  </si>
  <si>
    <t>6b189901-524c-4197-b588-e605b84c3fb9</t>
  </si>
  <si>
    <t>36bbd05c-2cc3-463c-aea7-c73fa57d48f6</t>
  </si>
  <si>
    <t>3375cdf1-f50d-4f04-b7dd-86b4a0abffa4</t>
  </si>
  <si>
    <t>b51320c8-4b71-4ce3-bfbb-eef85d9444eb</t>
  </si>
  <si>
    <t>50120ada-c71a-4881-be22-8bcacc1d1bbb</t>
  </si>
  <si>
    <t>8fe3ae76-9c3f-48fa-b115-3948b2bc9fc3</t>
  </si>
  <si>
    <t>5d4aef13-a6e4-41a1-9775-ea6af45730e1</t>
  </si>
  <si>
    <t>5f1d17d4-96fc-4141-886a-3105808eeebb</t>
  </si>
  <si>
    <t>4d50322f-b5fc-41c4-be8e-81bb5abd7d4b</t>
  </si>
  <si>
    <t>d9e0fee4-0c0d-4b5a-9095-d4970751ccf5</t>
  </si>
  <si>
    <t>4dc1e764-3893-4569-a5ac-9d6ba86f1cd4</t>
  </si>
  <si>
    <t>e71017d7-939c-4efe-8801-d75c7a5c300c</t>
  </si>
  <si>
    <t>c7325888-867f-45ac-9678-44513c1be11e</t>
  </si>
  <si>
    <t>1624ce41-d0fd-455d-ba25-f1c811d56a43</t>
  </si>
  <si>
    <t>cfea5785-9e91-4d70-9963-3aea6d0881ab</t>
  </si>
  <si>
    <t>ea0c9264-be27-4c72-af12-ff5a0ea48d58</t>
  </si>
  <si>
    <t>d05dc358-54e9-4c53-8b41-30316b8012f2</t>
  </si>
  <si>
    <t>7436ffd7-6996-49c5-b55b-a2bb6d9d0800</t>
  </si>
  <si>
    <t>c5add987-4c3f-4393-9df0-54de7de22fc5</t>
  </si>
  <si>
    <t>3aae351a-90aa-4b15-80ac-77f87ec754fe</t>
  </si>
  <si>
    <t>2e243818-587f-4710-bc9f-b8b6eb85b94c</t>
  </si>
  <si>
    <t>ef52e2e7-a0be-4c94-ab5b-a996039591f1</t>
  </si>
  <si>
    <t>5271511c-ba16-4a33-9cf6-cba4b6d8cb0d</t>
  </si>
  <si>
    <t>3b9c7406-3810-491a-8965-595a29cd704c</t>
  </si>
  <si>
    <t>aef50adf-5df5-4b53-8ce8-78777bb583a2</t>
  </si>
  <si>
    <t>7aeadc61-d5e8-4dcb-9d96-a5cdcad06d81</t>
  </si>
  <si>
    <t>617911c5-4e32-49fc-96b6-a9ab42ae1d7d</t>
  </si>
  <si>
    <t>d21e9b2a-8539-434b-a628-f0e3d3bf2c15</t>
  </si>
  <si>
    <t>97333b7f-c85a-4865-b736-19e177c04ee0</t>
  </si>
  <si>
    <t>ae56f834-993e-4e24-b3ff-5c3407520b6f</t>
  </si>
  <si>
    <t>b2c01966-5354-4167-99e5-eaa8c73223e1</t>
  </si>
  <si>
    <t>b93f975f-a03d-4360-a337-abece17422c7</t>
  </si>
  <si>
    <t>b4a1a4d0-db3b-475f-b70c-66823e2879b6</t>
  </si>
  <si>
    <t>5c7e1477-8d78-4eba-8fe7-d3f94c115160</t>
  </si>
  <si>
    <t>26880813-ec20-4d5d-9445-f1fb67859561</t>
  </si>
  <si>
    <t>e2c41be2-7f40-4d96-8759-e2e038a34b55</t>
  </si>
  <si>
    <t>d72e2ec5-5a36-49e1-a396-027d7637ef54</t>
  </si>
  <si>
    <t>dbd8f840-7b60-47a1-8e0a-c6504fb90568</t>
  </si>
  <si>
    <t>0ea6fd05-3c92-428d-8d17-ce2e204d4caa</t>
  </si>
  <si>
    <t>ea28dac9-e1ba-4bc1-9ac4-5411a89767db</t>
  </si>
  <si>
    <t>636f8fb8-f646-4217-a888-82d70609822b</t>
  </si>
  <si>
    <t>b70ba77a-54d5-46bd-9d88-ed3ca6682872</t>
  </si>
  <si>
    <t>16248854-d4b1-4ebd-93da-0ac410b64649</t>
  </si>
  <si>
    <t>29b1e5df-6851-4af3-8322-28cd80f176ac</t>
  </si>
  <si>
    <t>103aa7b6-24f3-4eb2-b3cb-bee2c2092cdf</t>
  </si>
  <si>
    <t>a9bfa153-c95d-4bd3-8622-27057b2984f9</t>
  </si>
  <si>
    <t>c0e15eb1-9852-41d0-ae83-541d612838ad</t>
  </si>
  <si>
    <t>16b61bbe-9a87-4ea2-b079-9cbea6bc9dac</t>
  </si>
  <si>
    <t>c0f0e977-d56e-4143-a7f9-fd654dd78064</t>
  </si>
  <si>
    <t>8e004529-aee8-4092-bd76-0d5c31de77c8</t>
  </si>
  <si>
    <t>3f129dea-cabe-464a-b779-d42912620fba</t>
  </si>
  <si>
    <t>7dfe841b-a71d-46d0-8de1-27d20da3c953</t>
  </si>
  <si>
    <t>6d825283-70c8-4694-bdf1-58a26bf9a359</t>
  </si>
  <si>
    <t>1691a12d-9780-4cb5-9f49-a4f131cc7df7</t>
  </si>
  <si>
    <t>0ecf1795-7ef2-46d3-92ce-22d8a9c0b862</t>
  </si>
  <si>
    <t>63333fe0-1947-4a49-91cc-80ac08d09914</t>
  </si>
  <si>
    <t>667ec514-b298-4999-aa2a-959073bbde66</t>
  </si>
  <si>
    <t>75821ea2-d3f8-4c94-931f-6027331ffe3c</t>
  </si>
  <si>
    <t>e70ef092-8f83-498a-b564-9db7c3ef4a9b</t>
  </si>
  <si>
    <t>185aaed4-b39c-4d23-b9e2-cf4c7f36cedc</t>
  </si>
  <si>
    <t>78a37c71-7a43-488c-ad3f-5251bfb10109</t>
  </si>
  <si>
    <t>dcaa44af-8185-442f-a3bf-4e9d65152ea3</t>
  </si>
  <si>
    <t>33920331-a8f0-44a7-9fc8-9e9d6af2e583</t>
  </si>
  <si>
    <t>18074d6a-f9fa-4ad8-ace1-738adefb9f1d</t>
  </si>
  <si>
    <t>1bd06088-9fda-441f-96d1-fd0b40ce10da</t>
  </si>
  <si>
    <t>81a21812-54ed-4738-accc-471207a32a95</t>
  </si>
  <si>
    <t>ba1dd079-6239-4436-9f4f-1aed4b572734</t>
  </si>
  <si>
    <t>541a1fea-1f6e-464d-b9ca-d7bcf1da5e9a</t>
  </si>
  <si>
    <t>89f68394-f5f3-4383-93ae-13dfe36aa2de</t>
  </si>
  <si>
    <t>e1d3f52c-3f78-486b-8436-96bbef29d1b3</t>
  </si>
  <si>
    <t>49adfd22-2f96-4a04-b276-e12fe1ad1165</t>
  </si>
  <si>
    <t>cefac176-af7a-440a-a41e-f7fa81bcca4c</t>
  </si>
  <si>
    <t>6abeea55-1a6c-46b5-9649-608fb94d9068</t>
  </si>
  <si>
    <t>cc9d5078-43e5-404f-af4e-aac4f4c3909a</t>
  </si>
  <si>
    <t>b570a93f-d816-4b54-b34a-9c59722c0deb</t>
  </si>
  <si>
    <t>89967fc4-7da6-4b6f-b19b-c6e8e58be701</t>
  </si>
  <si>
    <t>b57194b3-91bc-4c86-a012-ab037ce7809b</t>
  </si>
  <si>
    <t>03cdd678-8223-4604-a707-1e142191a6e5</t>
  </si>
  <si>
    <t>077fc7ba-4aee-409f-919d-2bd0193c8cdf</t>
  </si>
  <si>
    <t>1d40f63b-4636-49ba-93ef-53ceade5ca12</t>
  </si>
  <si>
    <t>bb765c7b-0879-4e85-81c1-1f6fb5ac2621</t>
  </si>
  <si>
    <t>5dd4390c-09e1-4a86-9e56-50861583c79e</t>
  </si>
  <si>
    <t>1195cc72-7cb2-45a2-9ac1-cee36d120ba1</t>
  </si>
  <si>
    <t>ac5d83f8-6ad2-41a0-9191-a855e7de6400</t>
  </si>
  <si>
    <t>68f40fcf-9c06-4070-8f3a-8328c5550b75</t>
  </si>
  <si>
    <t>bf7d1151-402a-438b-b053-b3dce8733183</t>
  </si>
  <si>
    <t>828ee072-8616-4604-8431-894a2efb287b</t>
  </si>
  <si>
    <t>c8cbd6b8-314b-4d20-8043-bab50fcd5216</t>
  </si>
  <si>
    <t>9fc48f7f-f6b3-40c7-b264-1895bae68014</t>
  </si>
  <si>
    <t>d43107e4-25b5-4817-9af1-37767fd19f90</t>
  </si>
  <si>
    <t>a3449b1a-5efd-48c9-97e4-f9a5f0ca88fe</t>
  </si>
  <si>
    <t>d6973026-7ad9-4bb7-9043-02ca2c796305</t>
  </si>
  <si>
    <t>ec07c241-44d1-4ced-ae4f-38b32b400b10</t>
  </si>
  <si>
    <t>50827b15-b8c5-415f-b523-3c8eaa178371</t>
  </si>
  <si>
    <t>a55fd8d7-70e2-4950-80ac-69e712b75035</t>
  </si>
  <si>
    <t>8f04f59e-5c49-4b0f-a81d-755201573372</t>
  </si>
  <si>
    <t>aea2639f-387a-4865-8210-4c61572b4cdc</t>
  </si>
  <si>
    <t>d306ff2f-340c-4ce4-aed1-0b3c54fcafcd</t>
  </si>
  <si>
    <t>885f4e62-1a35-4952-8b18-fad34fbd2227</t>
  </si>
  <si>
    <t>a55c7dfe-034d-4f7a-b826-61a9709a4a28</t>
  </si>
  <si>
    <t>7132a9d9-d4ee-42aa-9da6-bd9f65fde04d</t>
  </si>
  <si>
    <t>cde3ad0c-b228-470c-b4d1-984382fafa49</t>
  </si>
  <si>
    <t>cf841e80-1877-4d9d-b1c1-4472c5169a50</t>
  </si>
  <si>
    <t>bebbefe5-59eb-4080-a779-dde9b95320a2</t>
  </si>
  <si>
    <t>7cb28a40-f5d0-43a9-96b9-3fdd70e02d75</t>
  </si>
  <si>
    <t>67e1ce16-e689-4137-b7ac-b3fb025e0292</t>
  </si>
  <si>
    <t>64cd0ddf-48ea-4f0c-aeab-80ffe2a577b5</t>
  </si>
  <si>
    <t>361ce932-0fe1-4966-aa18-6aa5671e0b7a</t>
  </si>
  <si>
    <t>5d301b0a-fd5b-4af0-a1c0-b4f2c78786f2</t>
  </si>
  <si>
    <t>ba34b688-174f-4515-bf65-27fe461af9f4</t>
  </si>
  <si>
    <t>faf10285-7f2e-4618-8200-d0a20facf4ed</t>
  </si>
  <si>
    <t>cb12b794-dcd0-45eb-9ed6-68fcbea6daf1</t>
  </si>
  <si>
    <t>7731b744-a28c-40bd-9f96-7829d7340303</t>
  </si>
  <si>
    <t>aab09caa-89f6-4bdb-a4ae-6541080ae91c</t>
  </si>
  <si>
    <t>bdcf16c8-2133-4be0-b15e-705873e4d5fe</t>
  </si>
  <si>
    <t>109b3a9a-7b1b-4b84-90c3-cbf0523abcf5</t>
  </si>
  <si>
    <t>68edb396-2fe2-4d76-8015-d4f8d347bf08</t>
  </si>
  <si>
    <t>f3364053-bb58-4a59-b587-382efcd7c7e0</t>
  </si>
  <si>
    <t>b4f79b30-9b4e-4b8a-9e26-23781611450b</t>
  </si>
  <si>
    <t>605de119-820e-4600-a616-8c465c85f2b4</t>
  </si>
  <si>
    <t>149a6c00-1dda-4506-9443-362387de85dd</t>
  </si>
  <si>
    <t>d25840b6-ae15-43ce-973e-f242ebbf1868</t>
  </si>
  <si>
    <t>fb289045-cb21-4a4c-983b-5178f1aadddd</t>
  </si>
  <si>
    <t>d75447d8-6013-425b-b690-e47a3971e6bd</t>
  </si>
  <si>
    <t>7728f31c-6cb0-4675-92f0-fa7a21f21fb2</t>
  </si>
  <si>
    <t>d7048650-221b-491c-bbf0-d11311d9ca3a</t>
  </si>
  <si>
    <t>6bec141d-86dc-4bf9-9eea-784385816f60</t>
  </si>
  <si>
    <t>42eaa15b-b152-4ec5-8ac8-b5c7a89e1be5</t>
  </si>
  <si>
    <t>459f398d-f9e9-40c9-b15c-14b64b046732</t>
  </si>
  <si>
    <t>88a81e46-0ca1-464f-8113-855dfe87a566</t>
  </si>
  <si>
    <t>227a59a4-bcdd-467a-9ed9-4e1efd6896b0</t>
  </si>
  <si>
    <t>87876026-fe99-4b4c-9ce7-855c7e1d02b5</t>
  </si>
  <si>
    <t>42136f7a-c7b7-46bd-af96-da3d39be6cb5</t>
  </si>
  <si>
    <t>4e7290ea-1328-464c-9104-f4a91b853458</t>
  </si>
  <si>
    <t>a6291a44-53b7-43b1-ba84-8e837af48870</t>
  </si>
  <si>
    <t>ad721506-dba0-40c7-9179-79cec86d560a</t>
  </si>
  <si>
    <t>e134c7f5-ee19-4f0f-892c-911ccc9486d0</t>
  </si>
  <si>
    <t>eea55032-8d7c-4b0b-9655-508760f262d5</t>
  </si>
  <si>
    <t>1f0a4d29-905a-4d1b-945c-49a525c44972</t>
  </si>
  <si>
    <t>2f60ce6e-0bd5-49e8-bb6e-e0b70d9fd742</t>
  </si>
  <si>
    <t>0ae3d688-fb47-4afe-bc60-ef67f3bc75a1</t>
  </si>
  <si>
    <t>28c137bf-be8f-407a-b8ea-1d751c27181e</t>
  </si>
  <si>
    <t>6c6ed103-366a-4ea0-b7b4-58ed63d0bcf2</t>
  </si>
  <si>
    <t>514b4ef4-7e0a-4dc4-a99d-a2e549e69539</t>
  </si>
  <si>
    <t>c0795a2e-aa8a-4d3f-ad8d-055fb177037b</t>
  </si>
  <si>
    <t>7a76d109-7f07-4228-9183-af3a0a34d748</t>
  </si>
  <si>
    <t>24fdbb80-53b2-4e4d-8caa-fa4d33eb9be1</t>
  </si>
  <si>
    <t>469b3b57-b92d-481e-9799-d9da776f20be</t>
  </si>
  <si>
    <t>5f8fdb78-b3e7-4855-989e-ddb315d6f516</t>
  </si>
  <si>
    <t>8d72d911-46fd-4938-b2c2-26e4a66e6cd4</t>
  </si>
  <si>
    <t>6bf2dee7-8b73-4f50-9e2c-ed77d0f76c26</t>
  </si>
  <si>
    <t>a51507dc-6535-4482-9e5f-32f01882821a</t>
  </si>
  <si>
    <t>63178a60-0942-42c7-a997-6a8c25697691</t>
  </si>
  <si>
    <t>7d418f00-18a3-4380-9a4d-d645f5e0dbf8</t>
  </si>
  <si>
    <t>3a91df4f-b68d-4499-951c-70fbc0f67dfb</t>
  </si>
  <si>
    <t>36fac6e3-b762-45f4-8881-04e4120fa319</t>
  </si>
  <si>
    <t>025a5ed9-d353-4ba1-9cc6-a3f253b3e672</t>
  </si>
  <si>
    <t>fba884b1-721d-478d-bee9-98d3ffc21b62</t>
  </si>
  <si>
    <t>54964e77-bea3-4054-a6cf-a3fd41f438bb</t>
  </si>
  <si>
    <t>cc838d76-cc48-4da4-ab08-e885c3024dab</t>
  </si>
  <si>
    <t>000bcd17-5dcd-4779-898f-08f1515f9d65</t>
  </si>
  <si>
    <t>db7481f2-affa-4ddb-8b9d-fc0de228b66d</t>
  </si>
  <si>
    <t>fade7628-3c09-413c-9d2c-eaee401bbf37</t>
  </si>
  <si>
    <t>e7330bc4-e664-4ba0-b45b-e0279b2b19f6</t>
  </si>
  <si>
    <t>16726a3d-7eae-4168-92c7-6db8cd3d60f0</t>
  </si>
  <si>
    <t>bfacec7c-4406-4862-a9e1-0b4ee6c3397c</t>
  </si>
  <si>
    <t>ed2831f6-9966-4950-b3e7-91c7b654c54a</t>
  </si>
  <si>
    <t>ec26f3c8-7f61-4ec1-a0b5-9699d49afdaf</t>
  </si>
  <si>
    <t>2299a78e-5010-4e49-b63f-d03fe1e6a84e</t>
  </si>
  <si>
    <t>a921454d-fb07-4af2-8197-7d4eda1c47fb</t>
  </si>
  <si>
    <t>0a4aea7a-de5a-4a97-b2ad-59a75dfe05b8</t>
  </si>
  <si>
    <t>c56fa990-38cc-4133-bf6a-70174bb51a2b</t>
  </si>
  <si>
    <t>880bb6a7-fec5-4182-bb99-fb055edec10f</t>
  </si>
  <si>
    <t>c0fee864-b325-403f-90ae-29d7b0288a88</t>
  </si>
  <si>
    <t>946a9d9c-32c0-44ec-9842-d229564649d6</t>
  </si>
  <si>
    <t>21f67eb6-9850-44eb-93f1-530bb352feb1</t>
  </si>
  <si>
    <t>05c747ab-900e-4f5c-a58a-44b19875b561</t>
  </si>
  <si>
    <t>905c12a9-43fc-446f-a95a-4490fb34fdea</t>
  </si>
  <si>
    <t>9f4b4931-8e2b-4d4b-abc2-c43774925897</t>
  </si>
  <si>
    <t>d64bfa0f-b62f-43dd-9fad-23b12ee4cc31</t>
  </si>
  <si>
    <t>a8ea8dbf-929d-4b88-8d31-590bbdd38f7e</t>
  </si>
  <si>
    <t>e5e4dbdf-be6a-4bf0-901d-514ea1bb7646</t>
  </si>
  <si>
    <t>8ec054cc-ce67-43db-b8fb-74f807bb2880</t>
  </si>
  <si>
    <t>62fbf99a-55b6-4a8c-92c3-088231f171fc</t>
  </si>
  <si>
    <t>c4305763-e4af-4b47-87d8-19da8a82e4c1</t>
  </si>
  <si>
    <t>c9765cd4-47f0-4538-9f2d-8d28937ebfaa</t>
  </si>
  <si>
    <t>3afd8966-c522-4c18-934d-ccb88e0fd5b7</t>
  </si>
  <si>
    <t>e0635b19-1e17-407f-960b-858f7734edc1</t>
  </si>
  <si>
    <t>df015c7a-b4f4-4f5f-9873-b92173ff4ab9</t>
  </si>
  <si>
    <t>3dd32bba-894f-4744-a7b0-85a3567b6a54</t>
  </si>
  <si>
    <t>40f79707-2fcc-4d7e-b7e9-8eeddc7b671d</t>
  </si>
  <si>
    <t>560af028-42ec-422e-9265-7041fdef13bf</t>
  </si>
  <si>
    <t>c7c6144c-82bf-41ca-bd36-700228b0a1df</t>
  </si>
  <si>
    <t>e32de04a-b345-43b1-8fd4-dfe4a681c701</t>
  </si>
  <si>
    <t>477830e6-0f27-41ea-8c4a-9e5c7003fbed</t>
  </si>
  <si>
    <t>aab75fb2-6103-401a-b141-959a933c3c4b</t>
  </si>
  <si>
    <t>794c2b63-2eb8-4915-bec5-b2e1f0f792aa</t>
  </si>
  <si>
    <t>e6989352-5d45-43dd-a149-10d313f7e290</t>
  </si>
  <si>
    <t>653b561f-af24-4e1c-a6ab-7e5d2efa64ca</t>
  </si>
  <si>
    <t>b7369d72-ba04-4208-b766-ddfb839c2ce7</t>
  </si>
  <si>
    <t>6b3ecaea-7c40-4e54-b5c8-94b187880e3c</t>
  </si>
  <si>
    <t>7a0448f0-2173-4623-9133-3f46220365f5</t>
  </si>
  <si>
    <t>41507c4e-6e4d-4a01-b24c-45366e6433da</t>
  </si>
  <si>
    <t>c46cef46-81ad-44a1-b2b2-725b93505a32</t>
  </si>
  <si>
    <t>2823bf8f-2d3c-4e79-b61a-484e05ebe4bf</t>
  </si>
  <si>
    <t>d283ff6d-5178-4ea5-8516-a41faaa82b65</t>
  </si>
  <si>
    <t>5a92a8e7-6749-480a-9816-a4c1278560d0</t>
  </si>
  <si>
    <t>e386d584-1703-4f69-8c3e-78c130468ee1</t>
  </si>
  <si>
    <t>cad3a48a-99b2-4d32-b6ad-e2845aa7da5c</t>
  </si>
  <si>
    <t>cc6b16dc-4fd6-4949-a618-9ac57a0dc70f</t>
  </si>
  <si>
    <t>7efe7133-f45c-4ac4-bb4f-c3fb2b7b67d7</t>
  </si>
  <si>
    <t>223b714e-50e5-4378-803d-e97fe77df9bb</t>
  </si>
  <si>
    <t>7247bd95-092e-4827-bea4-c4a6936f636a</t>
  </si>
  <si>
    <t>f7f21c7b-3edf-443e-9826-c515a08f174e</t>
  </si>
  <si>
    <t>02adea98-9836-47c2-b5f8-6341daf203fe</t>
  </si>
  <si>
    <t>05f2574a-5f71-47ca-9a66-0bef172cd1a0</t>
  </si>
  <si>
    <t>490530c7-78c1-4597-b885-1426a5a28149</t>
  </si>
  <si>
    <t>02c0df9e-4d72-4642-be88-59eea6b7f60b</t>
  </si>
  <si>
    <t>ca195348-1feb-4062-8d0a-39f2aaca9a7b</t>
  </si>
  <si>
    <t>eb1e5a17-751e-4dbf-b11f-ca0c7d6920ba</t>
  </si>
  <si>
    <t>403395eb-57bd-4f05-8677-8b18feec9243</t>
  </si>
  <si>
    <t>db7af53e-1687-4f4a-add4-725afa4e248f</t>
  </si>
  <si>
    <t>fac3dd57-44f2-4d15-b411-00cd7b6f30cf</t>
  </si>
  <si>
    <t>f6f96b7b-542b-4684-9f3f-a88a71eeb4b9</t>
  </si>
  <si>
    <t>3daa081a-b7f4-427e-bfc4-cad02bb007de</t>
  </si>
  <si>
    <t>d2aadc4d-3dc8-4b2a-8a47-a98ed70db748</t>
  </si>
  <si>
    <t>b42253f7-8649-49e6-9267-4bb9a8bb7328</t>
  </si>
  <si>
    <t>f82e15d9-1c70-4b94-b9b9-9396f4bf980f</t>
  </si>
  <si>
    <t>e379b84b-fe24-4a58-b5aa-e10bdf4d1f6e</t>
  </si>
  <si>
    <t>f6d707b3-c08c-4801-9282-4f31d5c66f9e</t>
  </si>
  <si>
    <t>b541df62-c0d4-4e32-8682-7462c6fd3d4c</t>
  </si>
  <si>
    <t>f9d7e9f7-1e4f-4aeb-87ef-3eda3e8dd548</t>
  </si>
  <si>
    <t>f22d926b-b445-40dc-b895-779f5ac69fcf</t>
  </si>
  <si>
    <t>89730477-567f-42ff-bbb5-288decebd175</t>
  </si>
  <si>
    <t>c45b10c0-f332-48a8-bb52-14c01114b888</t>
  </si>
  <si>
    <t>73f95502-08a2-49ff-8dce-f843da83fe53</t>
  </si>
  <si>
    <t>8555141d-66d5-449b-ab5b-c8ab417b960c</t>
  </si>
  <si>
    <t>3d5be63c-927d-4d52-9376-cddeab7b77c1</t>
  </si>
  <si>
    <t>ecd4691e-b3cc-41f8-b31e-8b2dafeafaa8</t>
  </si>
  <si>
    <t>6c08e312-7c73-42c0-b14d-9db232362006</t>
  </si>
  <si>
    <t>e0d2db87-dacc-4975-9c59-cc802730b94b</t>
  </si>
  <si>
    <t>ebcac612-a6d7-43ac-892c-4fabee537e23</t>
  </si>
  <si>
    <t>453f93c6-95c3-480b-b725-e07032cd9eeb</t>
  </si>
  <si>
    <t>99d1a1e0-7176-48cb-832a-67b61d1acc2a</t>
  </si>
  <si>
    <t>d22fba25-23c8-45e0-821b-3289cf4bcce9</t>
  </si>
  <si>
    <t>91eed302-9d8d-4501-996d-5217ed9208cd</t>
  </si>
  <si>
    <t>b7b0c954-7d52-4866-9fec-04f1da6f8334</t>
  </si>
  <si>
    <t>d4af721f-0dba-4732-aa02-109fe0847fa3</t>
  </si>
  <si>
    <t>6eed4c53-15d4-42e1-9c9c-167a9819a479</t>
  </si>
  <si>
    <t>bed92a7f-9310-4a87-aa5b-b62a508da937</t>
  </si>
  <si>
    <t>00d434da-12e3-446a-9dfa-f54bed1acd3a</t>
  </si>
  <si>
    <t>ad1c12f8-3d86-4297-8ff3-33565f42fa9b</t>
  </si>
  <si>
    <t>cde9a495-522b-497d-914c-d6ca313872bb</t>
  </si>
  <si>
    <t>9ce4d858-fb7f-41c6-ac5c-c6829c882a7e</t>
  </si>
  <si>
    <t>834c591d-bb10-4a8f-a554-987d34944f5c</t>
  </si>
  <si>
    <t>865f6277-71fb-4515-be34-e0fd0a7ea7a0</t>
  </si>
  <si>
    <t>d6c7fe4a-6e13-4a58-b908-e118b179a6da</t>
  </si>
  <si>
    <t>80b2655f-730d-4572-b460-427d0d7400fd</t>
  </si>
  <si>
    <t>93dc0490-b423-48da-8d12-94fa384b2e00</t>
  </si>
  <si>
    <t>9681a51c-923f-42c8-87a5-f6148f322dc8</t>
  </si>
  <si>
    <t>154cd4e8-09b2-4a25-ac5b-808c492da86a</t>
  </si>
  <si>
    <t>17508c4a-4d5b-4c7e-bcf0-dcfeb773016d</t>
  </si>
  <si>
    <t>76a8d744-15a8-4e7a-9a12-fbf97f483e54</t>
  </si>
  <si>
    <t>ae711eb6-8b93-45e1-ae2c-10417f3d017a</t>
  </si>
  <si>
    <t>6e245d00-4188-4d57-9040-c9a84e5edd7e</t>
  </si>
  <si>
    <t>712505b9-2de5-42fc-8924-7c93f73d47c2</t>
  </si>
  <si>
    <t>97704386-0fe1-42e2-82c8-e2b543b83e54</t>
  </si>
  <si>
    <t>a6e03d67-8ace-41b1-a3a2-dd9615963165</t>
  </si>
  <si>
    <t>1211c5fa-01c2-4dd2-89e6-06967ef443f2</t>
  </si>
  <si>
    <t>50030682-835c-435e-86a6-30a0f3c53382</t>
  </si>
  <si>
    <t>2d7aa2a5-528e-421d-bfdb-70b6d681ef05</t>
  </si>
  <si>
    <t>9e64cf43-c965-451b-82e3-1314d7f0c9c6</t>
  </si>
  <si>
    <t>a469793a-47aa-4ae1-9b01-f6c2c4cba9fe</t>
  </si>
  <si>
    <t>e118661a-1a6a-49a4-8c42-6b57dac723d4</t>
  </si>
  <si>
    <t>604b3941-6e65-47ec-8add-7410ac1c0afc</t>
  </si>
  <si>
    <t>3c168515-9226-4146-b631-7bc11670aa39</t>
  </si>
  <si>
    <t>b7b4a217-7a58-4faf-be57-fc0e668a2479</t>
  </si>
  <si>
    <t>89938774-3906-4bf5-bdbe-994882a5cab6</t>
  </si>
  <si>
    <t>aa12bdae-5dab-4c53-87bb-67065fd49a3f</t>
  </si>
  <si>
    <t>0129bca3-575e-47db-950d-16ac663e7f1d</t>
  </si>
  <si>
    <t>44b899ea-1d38-422a-a623-6c9c32817679</t>
  </si>
  <si>
    <t>581c33e8-dd82-462b-8784-9b3f90f3b8ea</t>
  </si>
  <si>
    <t>f0b29d14-0c78-4201-8dc8-8c0946214524</t>
  </si>
  <si>
    <t>b869870e-8a5c-4760-b4e2-38b852ffd65e</t>
  </si>
  <si>
    <t>c2bab9bc-f7db-4e85-8557-0830ec37bce4</t>
  </si>
  <si>
    <t>a7ccef2f-7914-41a2-a9c0-91d0e89b1f94</t>
  </si>
  <si>
    <t>255e9d05-7007-481e-9f98-fd9a019d7090</t>
  </si>
  <si>
    <t>d07ae82b-dd8a-4e70-a9ce-4ec998fc181a</t>
  </si>
  <si>
    <t>e4929ea1-8b12-4995-a41d-61e3a21df7a4</t>
  </si>
  <si>
    <t>7e5ec3fb-901d-4abc-847f-078b8cb0337e</t>
  </si>
  <si>
    <t>2429c484-020c-4589-a5ab-637ca317d3e0</t>
  </si>
  <si>
    <t>c90c7ea1-0055-4eb4-b817-c3283077ed87</t>
  </si>
  <si>
    <t>1f2ee9da-40a2-40bb-8a95-e2168f4ded6c</t>
  </si>
  <si>
    <t>cc61d397-1d47-4756-9499-6b060f97b372</t>
  </si>
  <si>
    <t>c412e470-3ccf-4e9c-9d7b-11cdda815db1</t>
  </si>
  <si>
    <t>dfabf454-fce0-4557-b9d1-a6868f7ecad6</t>
  </si>
  <si>
    <t>72eee97f-6205-4231-bc62-0e71864ae04b</t>
  </si>
  <si>
    <t>9bfa613c-9d9a-4e93-bfb7-be1a72fe5443</t>
  </si>
  <si>
    <t>4b9207bc-7363-44b6-b746-3900529db01a</t>
  </si>
  <si>
    <t>e29451b8-c059-438e-979b-572af49d87c9</t>
  </si>
  <si>
    <t>1e6f5c6f-4995-4b5a-9d98-81ebf55e7a82</t>
  </si>
  <si>
    <t>6e5cb9f8-ca22-4fd8-bd38-0b0dd5a28aa2</t>
  </si>
  <si>
    <t>b14f316b-6137-4d2c-bf2f-ad544de030fb</t>
  </si>
  <si>
    <t>f109defd-b07b-4071-9152-e69ce9f0f17e</t>
  </si>
  <si>
    <t>6d1d6341-8bd9-40b7-a747-0c203566f37f</t>
  </si>
  <si>
    <t>394bfe3c-3a71-4872-b437-f1b97b6ec3e9</t>
  </si>
  <si>
    <t>a79045ee-f8e7-4dca-9d98-568d82fb61c3</t>
  </si>
  <si>
    <t>936b2bf7-c785-4c44-ad65-b77c409ffedc</t>
  </si>
  <si>
    <t>f3bef8d9-c7aa-4312-a55d-c8f235e9e597</t>
  </si>
  <si>
    <t>6ad0c1e3-a529-407f-adbf-ad90a2841d20</t>
  </si>
  <si>
    <t>ba650f85-0ada-4d77-8902-cda7bc0c7a2a</t>
  </si>
  <si>
    <t>a9a99833-e670-4832-a1c6-df1201be3c4f</t>
  </si>
  <si>
    <t>b0a2be3c-ac50-4991-a8dc-7b24c2e0d048</t>
  </si>
  <si>
    <t>368792ff-f8da-4745-8eed-fb6319d29411</t>
  </si>
  <si>
    <t>c5445a3c-69ff-468a-9b85-15b8c6427c9f</t>
  </si>
  <si>
    <t>9f0a2e2f-f924-47b9-a444-ff457101c796</t>
  </si>
  <si>
    <t>c283c6be-9007-47e0-b438-874883826a4f</t>
  </si>
  <si>
    <t>38509b7b-28a6-428a-a993-d5ec89ab2d0b</t>
  </si>
  <si>
    <t>f00a106f-df88-46ff-a1ca-4c31480f9881</t>
  </si>
  <si>
    <t>03b72632-66af-4f96-92e8-e5331078ddfb</t>
  </si>
  <si>
    <t>a5e6ac11-b7d6-4947-955b-805af1d907ce</t>
  </si>
  <si>
    <t>9204cae4-5972-495f-a79f-b656f6bf3209</t>
  </si>
  <si>
    <t>88e44656-7e40-42ac-878a-ed5d5a641ea4</t>
  </si>
  <si>
    <t>716609fb-6970-4da1-b1a8-d2b89130a940</t>
  </si>
  <si>
    <t>f0f009e2-bb86-4180-9e93-1e4e54280b74</t>
  </si>
  <si>
    <t>f6c835a3-854f-4496-a98c-438d4ef8df1a</t>
  </si>
  <si>
    <t>54691f86-91bd-4e90-8746-499d56a066a1</t>
  </si>
  <si>
    <t>06cd0ac4-6384-4be6-a55e-5ae2e153a822</t>
  </si>
  <si>
    <t>ac71f303-5478-4728-b594-8f6e9169649c</t>
  </si>
  <si>
    <t>e728f0d2-db15-42dd-b902-a384d65cb5bc</t>
  </si>
  <si>
    <t>758b199c-395f-47b0-80b1-49858f3c24ec</t>
  </si>
  <si>
    <t>156b3242-4480-40c6-a3da-03fc5e5be34a</t>
  </si>
  <si>
    <t>0f44cc03-0f34-46fa-a8c9-bd357c044fe2</t>
  </si>
  <si>
    <t>1fc5bf54-7e0b-40bf-bc4b-34a565b9255d</t>
  </si>
  <si>
    <t>526d9fff-9cad-423f-b893-171eeb549494</t>
  </si>
  <si>
    <t>763d6c9e-d0d9-48b5-a933-6905d24d8ffd</t>
  </si>
  <si>
    <t>37d87856-669e-438f-844a-cedacc6ae796</t>
  </si>
  <si>
    <t>c3f9df41-f9f5-4cb5-a451-e4754149c9ae</t>
  </si>
  <si>
    <t>92216714-5cbf-49b0-bead-0da651b6aaea</t>
  </si>
  <si>
    <t>306c7fd6-9710-4b1c-9d1b-f7745b611303</t>
  </si>
  <si>
    <t>f3f28ac1-bb72-4c09-a136-223b432f462a</t>
  </si>
  <si>
    <t>ce0a5f8c-4b5e-4c5d-8c76-92d4609413e5</t>
  </si>
  <si>
    <t>8213fb68-5f37-4e1e-83ca-31bf3c8fe4ee</t>
  </si>
  <si>
    <t>b9e6df84-aeee-4694-8670-d9d5790e870e</t>
  </si>
  <si>
    <t>ddaf6bc4-95b2-4136-9b7d-5e06ba6c0272</t>
  </si>
  <si>
    <t>884580b1-cb9b-4ef2-a7df-985741d9c2a3</t>
  </si>
  <si>
    <t>3eed20a9-03a1-45da-9912-3388834696a1</t>
  </si>
  <si>
    <t>d069b00f-442d-4c96-8e57-dd6bf5b7dd2c</t>
  </si>
  <si>
    <t>53aebc1d-86a1-4e63-ae50-365cbb49bcbb</t>
  </si>
  <si>
    <t>d7416fee-85f2-44d9-abf6-eae23dfe9e73</t>
  </si>
  <si>
    <t>9c5daffc-1ce9-4e3b-869a-c173ebfdffa0</t>
  </si>
  <si>
    <t>f87f0257-ab45-4b15-a992-5c395333e4db</t>
  </si>
  <si>
    <t>7b654f68-c81a-4a9f-9618-57b90941b9ae</t>
  </si>
  <si>
    <t>5a2100e0-51d9-4a76-b1d6-22642569f119</t>
  </si>
  <si>
    <t>a3ca7d1d-3c1f-4fe7-9fa2-10e09c60d104</t>
  </si>
  <si>
    <t>bef461a5-2d26-4a70-9482-5ef8099a653b</t>
  </si>
  <si>
    <t>fc1cb695-0728-4ad9-a5dd-3e18efe7cfff</t>
  </si>
  <si>
    <t>dfb2259c-1370-40ba-8421-81b070d9ce35</t>
  </si>
  <si>
    <t>e1805485-6fb4-46ab-8581-027e23466000</t>
  </si>
  <si>
    <t>4564b929-a883-4db5-a5e2-f74718246f49</t>
  </si>
  <si>
    <t>4eeb1fd1-9a59-4bc4-8443-ec8b7fef0d20</t>
  </si>
  <si>
    <t>a4895975-b36c-4249-8457-3b39f60c78ea</t>
  </si>
  <si>
    <t>2b302bf7-ac47-473c-abf4-3ebcb358fe2a</t>
  </si>
  <si>
    <t>33179803-160a-4584-b916-bc2ae64bdec2</t>
  </si>
  <si>
    <t>f8f8145e-9004-4fc9-95fe-fbe4212a3c02</t>
  </si>
  <si>
    <t>2f3582b5-d1a5-4b18-bfab-7b79056e4b8f</t>
  </si>
  <si>
    <t>aa474067-9b66-4231-8d1d-65b0203291f9</t>
  </si>
  <si>
    <t>97cc360e-73cf-42b7-9ae2-ad2bbd6ee7fa</t>
  </si>
  <si>
    <t>a6734c3c-46a1-4652-a4b4-03106000863c</t>
  </si>
  <si>
    <t>6ae838ed-17c7-4211-b459-6172e22e386c</t>
  </si>
  <si>
    <t>1a50fc61-fd3f-4279-8d3f-873c63c4ef35</t>
  </si>
  <si>
    <t>282f655e-3f4f-4d90-be13-a4f156670911</t>
  </si>
  <si>
    <t>cf5ad535-2610-4fdf-8509-3f4e8016c7c1</t>
  </si>
  <si>
    <t>b54cd15d-325b-410f-93f0-04b2f667e35d</t>
  </si>
  <si>
    <t>a00f6f2c-c3a3-4d75-a393-695ad83d1e67</t>
  </si>
  <si>
    <t>12fdf9fe-a51a-435d-9eb8-b30e0c912e93</t>
  </si>
  <si>
    <t>15a6edd9-7c9a-49e3-81a8-fbb08b55c059</t>
  </si>
  <si>
    <t>556063ce-a068-44b0-aaca-8675e4661981</t>
  </si>
  <si>
    <t>2cb5b8b3-330b-4e96-a2e0-045ea7b65c41</t>
  </si>
  <si>
    <t>08beac20-e838-4241-b0a4-0984dcf8c1d8</t>
  </si>
  <si>
    <t>750e5226-a097-48b4-9327-79c6f8aa6f23</t>
  </si>
  <si>
    <t>7800c8e0-938b-4397-a357-f7694fc96421</t>
  </si>
  <si>
    <t>dc156eaf-694e-45e9-89e9-4ffc89970c81</t>
  </si>
  <si>
    <t>36e4fa72-a04c-49ce-882a-7b51fd3866d9</t>
  </si>
  <si>
    <t>f3e73d0a-83aa-4a9a-a33c-5e4f7896cc63</t>
  </si>
  <si>
    <t>454cc171-880e-4d21-b783-9d5172caa2a3</t>
  </si>
  <si>
    <t>ce69a9be-8253-44fe-bdc8-b5f64a55c969</t>
  </si>
  <si>
    <t>8bd6811e-3652-4620-8736-361a9b3f8c10</t>
  </si>
  <si>
    <t>196e8bf7-2679-4435-91d8-f00eea35dae3</t>
  </si>
  <si>
    <t>7966a7dd-3794-47c3-9133-e6f2c0ff8efb</t>
  </si>
  <si>
    <t>54674611-c8b1-487d-906b-8e05dd7cd817</t>
  </si>
  <si>
    <t>f285d90e-492c-4230-bc5d-a457f7dd3d3b</t>
  </si>
  <si>
    <t>24aa1cbe-290a-4d2f-8a38-23860d8fb919</t>
  </si>
  <si>
    <t>c6346e48-ca60-4bb6-8cd9-5cdb1f00ca52</t>
  </si>
  <si>
    <t>b0bb7774-8c4b-4dc7-b65e-4c81ba48643f</t>
  </si>
  <si>
    <t>456f8468-7756-4154-9d70-5c2ac581260e</t>
  </si>
  <si>
    <t>b72f6f1d-36b9-4203-9529-6c85ef97dc62</t>
  </si>
  <si>
    <t>6c6f41f3-4092-4c9a-abc1-cca6622384ee</t>
  </si>
  <si>
    <t>0700ff91-9257-4f44-9860-8f14d0858b7a</t>
  </si>
  <si>
    <t>55e51362-d606-4cc0-adf8-1c52c97e2dc3</t>
  </si>
  <si>
    <t>56150976-23ce-422a-815b-f523825d7c22</t>
  </si>
  <si>
    <t>9c811593-840a-46a5-97d7-c100bf001094</t>
  </si>
  <si>
    <t>afcb904d-74b5-49e1-a16e-46247d662aa3</t>
  </si>
  <si>
    <t>94d14201-6178-40e8-909d-6e9a655838ea</t>
  </si>
  <si>
    <t>9b42b1cb-e348-4797-8ee3-5e0fbed02345</t>
  </si>
  <si>
    <t>ff1c257b-b49b-462c-91df-65d238b14217</t>
  </si>
  <si>
    <t>06d379b3-8f5a-44ea-a115-7806ebe6f44b</t>
  </si>
  <si>
    <t>844ee0a9-9939-4886-bdae-8235437805de</t>
  </si>
  <si>
    <t>44716f41-0e1a-41b9-bcf3-eb6a09a78deb</t>
  </si>
  <si>
    <t>90d7f398-c9ec-49d0-bb3e-9e7b228f508c</t>
  </si>
  <si>
    <t>d0ad4d7d-3a5f-4bb8-9328-42e16cbd5516</t>
  </si>
  <si>
    <t>6b9cebb0-36fd-4a2e-9b0d-598149ee082e</t>
  </si>
  <si>
    <t>8f763e75-8e25-4b3d-8f55-9e7dfabb03cb</t>
  </si>
  <si>
    <t>33dff5ff-f065-4c7a-90b9-c7ef30aa4e35</t>
  </si>
  <si>
    <t>a5c2e71d-8806-4a76-9c55-5e707e650739</t>
  </si>
  <si>
    <t>ecc684ba-fc1f-41b4-a631-f4719fc18846</t>
  </si>
  <si>
    <t>ff64e0fc-7049-4386-919d-9b7895ca55dd</t>
  </si>
  <si>
    <t>6e796d43-848d-404a-8d0c-463c30430c98</t>
  </si>
  <si>
    <t>532d6e3f-0e30-4556-8ed7-581eea664733</t>
  </si>
  <si>
    <t>d002f406-35b1-4373-8f3f-1c4242df6468</t>
  </si>
  <si>
    <t>ad4d7cdb-a0a1-4f0d-88d5-dc3f0c09d76e</t>
  </si>
  <si>
    <t>5556d30f-57bd-4153-926a-449fd869f885</t>
  </si>
  <si>
    <t>0656f2e0-0f79-4d5b-a5f4-db8a5f115ba5</t>
  </si>
  <si>
    <t>77d96cc1-1272-4211-916b-d86f5d707a20</t>
  </si>
  <si>
    <t>3772e676-5cad-42f2-8c7c-e9ac3653f1df</t>
  </si>
  <si>
    <t>486ea718-54ff-48a6-958e-1cdffce8763c</t>
  </si>
  <si>
    <t>274a18ce-5f5d-418c-af7e-65ea805572bb</t>
  </si>
  <si>
    <t>6a0f0543-202d-43de-9696-dc7486a988fd</t>
  </si>
  <si>
    <t>b26a4741-4d62-4f3f-bfe8-aa5b8dd0751e</t>
  </si>
  <si>
    <t>769e68cf-e660-4936-8a85-f431e3f0c6cb</t>
  </si>
  <si>
    <t>3f7b1421-703e-4c9c-9214-761ee20824ac</t>
  </si>
  <si>
    <t>bf0a8d49-0592-4393-aa44-deb5d15cca69</t>
  </si>
  <si>
    <t>ade8f832-9c7b-40c2-8c85-ac26d273c106</t>
  </si>
  <si>
    <t>f18dd9b4-7c52-4fe2-82e0-e235306a408e</t>
  </si>
  <si>
    <t>870be38c-ac88-4342-80fd-eaa14dd46367</t>
  </si>
  <si>
    <t>f6309b6a-a7c9-49df-a214-7801c8ee9168</t>
  </si>
  <si>
    <t>aefa6c93-c473-496d-9a37-c74e52752fd2</t>
  </si>
  <si>
    <t>2c58bb22-1204-4788-9d84-ccfefc32d03b</t>
  </si>
  <si>
    <t>9f19f8a2-4300-4081-9ead-82f80d4be373</t>
  </si>
  <si>
    <t>47ed35d7-a60c-42b1-bf34-3eeb8c51d34c</t>
  </si>
  <si>
    <t>60c11705-8e07-4aee-a6d7-fd24a356a407</t>
  </si>
  <si>
    <t>62fb28b8-4f7a-4ef4-8782-0032b5083446</t>
  </si>
  <si>
    <t>cbfe800c-0fe0-4564-ac47-4b92cb3b0276</t>
  </si>
  <si>
    <t>0a9bd8e8-ed8c-4c30-ad0d-2325c7a6a4d5</t>
  </si>
  <si>
    <t>377e0002-6097-467c-a6d1-4feb25d68cc4</t>
  </si>
  <si>
    <t>51c2cfa6-0707-42b5-95eb-393e018258d3</t>
  </si>
  <si>
    <t>0a690c0f-e9fb-40d5-bfe8-90a5c887af91</t>
  </si>
  <si>
    <t>789abdba-0026-4753-83c7-c944c8bb1bb7</t>
  </si>
  <si>
    <t>1edd061d-871e-4a4f-bb62-4d5aafa8cded</t>
  </si>
  <si>
    <t>f59dfb15-60a6-402e-ae00-e2526b7ae54c</t>
  </si>
  <si>
    <t>43c57c65-e84e-44b2-afb9-cd430afa31b9</t>
  </si>
  <si>
    <t>8e25511f-4fd6-4db7-87db-0f52d4c2e947</t>
  </si>
  <si>
    <t>1102f183-5aca-4124-999b-8c7d57d0d73c</t>
  </si>
  <si>
    <t>2d52156e-8539-4e5a-acf8-a356572785fb</t>
  </si>
  <si>
    <t>25e4947f-f800-4d90-b5b0-fb71b845cc24</t>
  </si>
  <si>
    <t>efaf35cd-07c4-4908-a206-100adcd7916d</t>
  </si>
  <si>
    <t>b3b0c17b-673c-42ea-8e24-4816cc09b13f</t>
  </si>
  <si>
    <t>bd650347-f41a-4e34-8a57-eb8a3bd5d779</t>
  </si>
  <si>
    <t>8f0df2e3-7dce-4e85-9581-ff7c2884bfaf</t>
  </si>
  <si>
    <t>a22c2736-493a-4718-9d25-62607c8d26ca</t>
  </si>
  <si>
    <t>01e7a1f4-0c06-403d-b5a3-52a4454b31d2</t>
  </si>
  <si>
    <t>363334b3-5684-41ae-a52c-e93cbcf0ca1c</t>
  </si>
  <si>
    <t>e5db6cc0-fa16-4f54-bfa3-d05b8ff91542</t>
  </si>
  <si>
    <t>360210d9-3ef2-4287-bc1b-1c15d507836b</t>
  </si>
  <si>
    <t>9ec6a79e-227a-423e-b907-32339781c9d8</t>
  </si>
  <si>
    <t>3e7a02cb-1491-4246-8152-5501cd3e4e88</t>
  </si>
  <si>
    <t>f5f621c7-f031-4ec3-b44d-436b3d028081</t>
  </si>
  <si>
    <t>bcdcc0d7-ca53-4956-a5ac-10468e6078b6</t>
  </si>
  <si>
    <t>5cb9509c-160d-434c-9f3e-6ab8473d08d9</t>
  </si>
  <si>
    <t>9cc92ec9-bb21-41b6-9f66-d6d6d96554f4</t>
  </si>
  <si>
    <t>762029f9-d2b3-4a56-9f58-2a7ea3760161</t>
  </si>
  <si>
    <t>25aefc42-6cd1-4f14-8b0e-94170257eb11</t>
  </si>
  <si>
    <t>0ca2a5b1-6e92-433a-8433-135897b0e72c</t>
  </si>
  <si>
    <t>b2b0cb46-d319-46cb-97a2-ce35752bc2fc</t>
  </si>
  <si>
    <t>a447acf2-f0c5-4b26-a8b4-140e6dcbd101</t>
  </si>
  <si>
    <t>e276a5f6-c8c0-40ee-8863-58f049324929</t>
  </si>
  <si>
    <t>36522879-96f3-4420-abcb-501788b5e431</t>
  </si>
  <si>
    <t>285983b0-5038-4fa5-9b8f-ff5dd912c38c</t>
  </si>
  <si>
    <t>4cee6475-3a90-4e8f-b9fe-d9d7a864e69e</t>
  </si>
  <si>
    <t>e3fbec49-f130-47e3-8331-e42be4518fdf</t>
  </si>
  <si>
    <t>166b082d-09ab-48c1-a50c-a5fde8d55bdb</t>
  </si>
  <si>
    <t>14245477-7846-4a94-857d-2590ffab602f</t>
  </si>
  <si>
    <t>2af019c8-67ee-4d20-a78f-9b90ec4daff6</t>
  </si>
  <si>
    <t>206f6dcf-da6e-4b8a-a778-574dbb986934</t>
  </si>
  <si>
    <t>6bc8496e-c865-427e-b22c-022881b04074</t>
  </si>
  <si>
    <t>722d36b7-3205-4924-81f9-1c97df74a9ff</t>
  </si>
  <si>
    <t>79dfb4bb-11bd-4190-b8c8-93aef66a7c12</t>
  </si>
  <si>
    <t>c2ee4f83-2628-4194-ac1a-dbe636db8409</t>
  </si>
  <si>
    <t>4349fa9c-e945-4fb5-8a9a-2876059839c2</t>
  </si>
  <si>
    <t>a23e6332-1564-4217-81b4-d4772c96d999</t>
  </si>
  <si>
    <t>4140ebe3-251d-4896-b09c-bc4d30f32f2c</t>
  </si>
  <si>
    <t>911e71ab-b4ee-4f7d-9500-e7c7928ef2e0</t>
  </si>
  <si>
    <t>6da7c94e-3257-4b0c-9d4e-d2d6c6f744d5</t>
  </si>
  <si>
    <t>47bab449-4710-4769-bcc2-3e133bc527ec</t>
  </si>
  <si>
    <t>e6db3724-c584-403b-9a42-84dd82795687</t>
  </si>
  <si>
    <t>eb81a90f-2a7e-4d96-a467-f39fa653752b</t>
  </si>
  <si>
    <t>2980a294-d17a-4ffd-aa5d-74de3b95847d</t>
  </si>
  <si>
    <t>78d8d04e-d19a-4030-9449-b553477a9a41</t>
  </si>
  <si>
    <t>fe486a27-59f3-4b95-878c-70f5b5c6e2ff</t>
  </si>
  <si>
    <t>98f4dfbd-6578-4638-ad8d-596ceac3b2fc</t>
  </si>
  <si>
    <t>36ae718a-8d36-4759-a5fe-2b7121d3f7a9</t>
  </si>
  <si>
    <t>cbc734dd-2508-4426-8e64-a57dd51135b5</t>
  </si>
  <si>
    <t>fce18e71-8c68-485d-8ff7-b0f5c51408b1</t>
  </si>
  <si>
    <t>600b8fa4-c2d4-4a2d-9f08-24405238f604</t>
  </si>
  <si>
    <t>747458b4-3e0d-44c9-a470-faffb645ec13</t>
  </si>
  <si>
    <t>32086939-e8f8-4047-a88f-7bf2c145030f</t>
  </si>
  <si>
    <t>b96e2eca-a793-4e49-90e9-6cda7ed9bd77</t>
  </si>
  <si>
    <t>4a90a140-faac-498a-a04d-43ff8c88a77a</t>
  </si>
  <si>
    <t>adcaee74-ca75-49a1-ba83-23f14ddec5c4</t>
  </si>
  <si>
    <t>b11d1141-0f17-46b2-b0d1-5058c4c78b3e</t>
  </si>
  <si>
    <t>7ba6f2f9-7a97-40b6-a805-e94897667225</t>
  </si>
  <si>
    <t>c9b0e33e-0653-4a23-938f-498a1e050a3a</t>
  </si>
  <si>
    <t>5100c5fb-78e7-44fd-8caa-a5abacaf2fea</t>
  </si>
  <si>
    <t>5d68487b-a01b-42b2-9f4c-201810fef6c4</t>
  </si>
  <si>
    <t>94e7a7e5-52cc-4d3c-bb05-b40a4988b61b</t>
  </si>
  <si>
    <t>7cdfded1-d06d-459f-80cd-095994c4f6e7</t>
  </si>
  <si>
    <t>1fa38529-5070-40cf-a5b5-b01cc7d18dc1</t>
  </si>
  <si>
    <t>59b08352-97a6-4dda-9c5a-ec4887755c9a</t>
  </si>
  <si>
    <t>9696fc70-34be-4ba7-9947-b501f1baa06b</t>
  </si>
  <si>
    <t>39276bcd-0d85-4d1a-ba20-94dd86e55381</t>
  </si>
  <si>
    <t>26b961f6-0bfe-4210-9e5a-1ccecc362b31</t>
  </si>
  <si>
    <t>7d5fa302-3ef1-410f-969f-f50b2d2cffee</t>
  </si>
  <si>
    <t>b572b90c-4279-4378-b8ae-c4e804bdfa99</t>
  </si>
  <si>
    <t>044ffab1-4ed5-480a-b89a-b14c675226f2</t>
  </si>
  <si>
    <t>bb843263-9f59-46de-954b-9f36d1d05e6d</t>
  </si>
  <si>
    <t>05098053-5c26-4ad5-b564-3f5089aeebc9</t>
  </si>
  <si>
    <t>39af0463-e3c7-4645-a1da-eb905faa94c8</t>
  </si>
  <si>
    <t>cf5209db-b59f-4381-b573-055df231ce85</t>
  </si>
  <si>
    <t>c62791dc-daa4-4506-a17f-e7220ef4c24e</t>
  </si>
  <si>
    <t>bd5c94d2-88d9-4d9b-a70f-4909a2789bc7</t>
  </si>
  <si>
    <t>e3d7bbb0-7310-4624-858d-911714e937ac</t>
  </si>
  <si>
    <t>62b9f3e2-ca0f-48c4-878e-9aad0f88e720</t>
  </si>
  <si>
    <t>3213f810-8f10-4c7b-8879-11fed729685e</t>
  </si>
  <si>
    <t>c0d01d75-625e-49cc-9c3f-b1d1b4bed5a8</t>
  </si>
  <si>
    <t>9cac4b89-9ada-4e7d-a099-570c8d23688c</t>
  </si>
  <si>
    <t>412ab338-7c95-40d8-91a6-a4847ec519ab</t>
  </si>
  <si>
    <t>9b8b46d5-7f1b-469e-aa63-719fc7b5deb8</t>
  </si>
  <si>
    <t>2d73270f-c16f-4ef0-8fbc-81722973c51c</t>
  </si>
  <si>
    <t>95cdcdd9-aad2-4632-a0ef-c5568258371e</t>
  </si>
  <si>
    <t>dfe2dfbc-9c19-4e90-b5e5-d14b48d040db</t>
  </si>
  <si>
    <t>dbe92bd2-8a15-491a-8758-8fa023341be4</t>
  </si>
  <si>
    <t>53571550-549d-42d2-8369-56cf4402d7c4</t>
  </si>
  <si>
    <t>33c8da24-3a5c-48c5-a92a-f4293cc5aff2</t>
  </si>
  <si>
    <t>571fb9e4-3768-463e-a927-d460385c26d5</t>
  </si>
  <si>
    <t>222916ea-0686-4ea3-9373-5e06ec814881</t>
  </si>
  <si>
    <t>7da255c2-59bb-4940-bbe3-efcc63e7c235</t>
  </si>
  <si>
    <t>2862cd12-3766-482f-8e90-7ed6cfc74b68</t>
  </si>
  <si>
    <t>e626cc50-d63c-4167-a232-3fdb76831136</t>
  </si>
  <si>
    <t>ff5f3076-09be-4dd1-8542-5c2f38205bae</t>
  </si>
  <si>
    <t>c834c9dc-6209-44f2-a05d-0f1aa6f1e3f7</t>
  </si>
  <si>
    <t>882be7c6-d513-46f5-94c8-0263f9be5fc8</t>
  </si>
  <si>
    <t>a7918e18-a227-462f-82c4-8d286e30a5dd</t>
  </si>
  <si>
    <t>6b794f43-7bf1-4475-a6f9-75f5f05cff9d</t>
  </si>
  <si>
    <t>973b86ee-9965-4806-a4e5-5d7e5e8b26a1</t>
  </si>
  <si>
    <t>aa341320-5af9-427c-b0c5-a7f2ff706cbb</t>
  </si>
  <si>
    <t>4b0375d1-ad50-47e8-aa8f-6d314693a9e1</t>
  </si>
  <si>
    <t>5f603521-f8c7-4dc5-b50e-bd80957c67c2</t>
  </si>
  <si>
    <t>56c164d1-7948-484b-9289-651af07eda7e</t>
  </si>
  <si>
    <t>e714f6f7-0628-46d1-bb5d-4eb90930ba13</t>
  </si>
  <si>
    <t>edb5215e-b4d4-4aba-ae05-550ec0e10158</t>
  </si>
  <si>
    <t>d558d483-b962-4c4a-81ec-8f4f805c4792</t>
  </si>
  <si>
    <t>db406d45-05ba-4943-8404-1fa706c9f2de</t>
  </si>
  <si>
    <t>4952fd53-0b32-4ede-9473-516fb12bbb69</t>
  </si>
  <si>
    <t>583c1a13-1daf-49ad-8c4e-c9e41d6122cc</t>
  </si>
  <si>
    <t>50f87e25-eb4a-4415-9779-fff4dda80a6a</t>
  </si>
  <si>
    <t>b8d31488-7a94-45f5-bc0b-676aca179236</t>
  </si>
  <si>
    <t>2b768fba-0427-4607-9e0b-5885e3e781d4</t>
  </si>
  <si>
    <t>1e9cc068-4ecb-42db-83d1-984da941729a</t>
  </si>
  <si>
    <t>35f070dc-7e4d-4501-8718-bb3fe157ffd1</t>
  </si>
  <si>
    <t>d2d2ca6f-ba84-434e-be17-aef3c5aafdce</t>
  </si>
  <si>
    <t>e14b9663-f581-4e60-be59-808e59418e8c</t>
  </si>
  <si>
    <t>35cc8112-9423-42f0-8202-c9f3cff2e8f4</t>
  </si>
  <si>
    <t>755ca56c-ee0b-4d30-89bd-e00359c90223</t>
  </si>
  <si>
    <t>3d941afb-6520-4207-afe5-fb7270f48597</t>
  </si>
  <si>
    <t>89a97947-5810-4502-8e9c-7102516aecc0</t>
  </si>
  <si>
    <t>3375c10e-bb93-452a-8380-0112af391270</t>
  </si>
  <si>
    <t>53f176a7-8810-4da2-8d6c-a6122e7b5ad9</t>
  </si>
  <si>
    <t>94843416-5b6d-40a3-8c3b-8f972e3c325a</t>
  </si>
  <si>
    <t>8844feb4-5c95-4575-892a-3f9e5f589e71</t>
  </si>
  <si>
    <t>921fcaa3-6501-4bf9-a190-337ea1651e71</t>
  </si>
  <si>
    <t>1c613f66-f1df-445e-8a88-c13eeb74608c</t>
  </si>
  <si>
    <t>2bfcdb88-1cff-4306-8399-ab5e0d276c3f</t>
  </si>
  <si>
    <t>c0631f77-5e18-4688-a401-c39e1f0456cf</t>
  </si>
  <si>
    <t>b8276c6e-e215-40fd-b1cf-5a03f022368f</t>
  </si>
  <si>
    <t>bea968bd-40b8-4c3f-85f6-6c574b41047d</t>
  </si>
  <si>
    <t>60d21b37-5669-457c-8519-83e5f67a5427</t>
  </si>
  <si>
    <t>5f6390f3-2ab5-44ff-902a-4850edee56b4</t>
  </si>
  <si>
    <t>39406a21-2da6-4752-8d1f-e8b6ca9f2623</t>
  </si>
  <si>
    <t>bd2f2399-ceea-4ab8-bc60-dd5a4123e5c1</t>
  </si>
  <si>
    <t>d3f7df25-2b17-406e-8004-653504122aa9</t>
  </si>
  <si>
    <t>549ec454-aa9a-4e14-9d7a-c2e8e215ba49</t>
  </si>
  <si>
    <t>953fabd6-5bd2-4648-bea9-fd3382ffd1c1</t>
  </si>
  <si>
    <t>59431861-c9eb-4f70-9972-096c243683a6</t>
  </si>
  <si>
    <t>98749f13-4734-4b0b-b50c-269194212417</t>
  </si>
  <si>
    <t>9a437b3a-409e-43c7-9965-19056f20ebbe</t>
  </si>
  <si>
    <t>c45642fd-0e78-4440-9659-e6651c50362f</t>
  </si>
  <si>
    <t>3314c8fb-3ab1-4404-9f20-4256d4fca39a</t>
  </si>
  <si>
    <t>95bd8e77-b2a1-4d88-9c4d-9a8a40bc0ef1</t>
  </si>
  <si>
    <t>5638ee78-d954-4100-a7dc-77c8b77cca8d</t>
  </si>
  <si>
    <t>fb091ea2-97c9-4e50-a035-6be4726b3bb6</t>
  </si>
  <si>
    <t>32667b54-c88d-445e-9e75-e69e3ac830ec</t>
  </si>
  <si>
    <t>2f006268-ee6e-4cbb-b187-650c925a3601</t>
  </si>
  <si>
    <t>18a47af1-6176-4095-a931-ea3f85ea8e5b</t>
  </si>
  <si>
    <t>6ce14217-3034-4f38-b74b-d0b1ea1b2760</t>
  </si>
  <si>
    <t>f3f023ae-aaa3-499f-8731-59c842a2a261</t>
  </si>
  <si>
    <t>f83163b3-9369-4c4a-99c3-55e229f2d0b7</t>
  </si>
  <si>
    <t>37abab08-3cb0-4a68-a985-21d900d4c601</t>
  </si>
  <si>
    <t>646e4618-ea91-4365-ae67-d27331740923</t>
  </si>
  <si>
    <t>c322b455-93d6-4519-ad42-103c8ca65049</t>
  </si>
  <si>
    <t>7f96bf76-03b4-4291-9ac6-357c71f109a7</t>
  </si>
  <si>
    <t>5daa0a6f-12d0-4dce-9853-f230a27c83ca</t>
  </si>
  <si>
    <t>8194a7c7-d252-44b1-91c1-89a61277f5a9</t>
  </si>
  <si>
    <t>6a546862-c32a-4dad-8e25-40115a4baedf</t>
  </si>
  <si>
    <t>eeae2686-bd27-48d0-bd6a-a6a6f1f3b2b8</t>
  </si>
  <si>
    <t>ef779891-4e03-469a-afb5-6782fdd9d692</t>
  </si>
  <si>
    <t>2c00734b-8828-4f14-a193-b6079a7e7cf2</t>
  </si>
  <si>
    <t>aab9851f-8398-485e-80fa-7b45bfff692b</t>
  </si>
  <si>
    <t>7a35cad1-a136-44f0-ba83-24435cc98244</t>
  </si>
  <si>
    <t>8fddc924-1c87-4b31-bdd2-3a5a94d7d645</t>
  </si>
  <si>
    <t>b4c7c0e3-2852-4210-81e0-2d83f2bd6b22</t>
  </si>
  <si>
    <t>50b1821b-9732-4b83-92e3-065672e57edf</t>
  </si>
  <si>
    <t>8eac5e20-f792-489c-b100-5ce11715639a</t>
  </si>
  <si>
    <t>d8acf36a-e7ea-420e-b6e0-97a4646e34d0</t>
  </si>
  <si>
    <t>dbf46c41-2f77-4e55-8ded-2860d936fc84</t>
  </si>
  <si>
    <t>1834c727-22b6-4ae3-8d0c-21ef4f891e14</t>
  </si>
  <si>
    <t>be942c14-2bc7-40a3-b1b0-b3ce7246e37f</t>
  </si>
  <si>
    <t>a9eb25aa-01a5-47da-959f-3c16727a7634</t>
  </si>
  <si>
    <t>8047f52c-918d-4fa3-bd02-1df4e63486c5</t>
  </si>
  <si>
    <t>9e1b53e9-1f26-487b-b4b1-6c53667c001b</t>
  </si>
  <si>
    <t>b8183d55-0918-4d5e-9c46-fc43580bd5df</t>
  </si>
  <si>
    <t>0d0ada7f-7881-405c-9a10-c49d5b5e1994</t>
  </si>
  <si>
    <t>0361660a-df99-4766-8328-0cff2eb05977</t>
  </si>
  <si>
    <t>30ec305d-c072-4d95-95ad-569c98ea56d1</t>
  </si>
  <si>
    <t>296ddf4a-72f3-43d6-b62f-14c31ba198b7</t>
  </si>
  <si>
    <t>ea5a49d9-fb4e-4a0f-8813-f5dc90c3b494</t>
  </si>
  <si>
    <t>9b32f80b-684d-40e4-8b6d-8f182ef6574a</t>
  </si>
  <si>
    <t>89eceeea-fd23-4ebd-883c-0a0ca3d08f3b</t>
  </si>
  <si>
    <t>a935bb23-d4ec-46f2-8002-e7cfc66849d5</t>
  </si>
  <si>
    <t>5875e853-b452-4408-951a-9f9e86fcd2e0</t>
  </si>
  <si>
    <t>b120a754-e979-4ecf-95bc-25b8e7d539ae</t>
  </si>
  <si>
    <t>fa166ad2-753b-4904-82c2-a59da154e12c</t>
  </si>
  <si>
    <t>887400f7-9711-4b4b-8771-557c069890cb</t>
  </si>
  <si>
    <t>9ce5077e-1acb-407c-808e-219ec07a12a5</t>
  </si>
  <si>
    <t>39ddfee3-1273-4c01-a232-39570547805a</t>
  </si>
  <si>
    <t>8ad7d8c1-6855-4a63-ae72-939e9f464ed2</t>
  </si>
  <si>
    <t>1507ed36-16fb-4e76-bdfa-600565de6ed7</t>
  </si>
  <si>
    <t>cdfdceba-0083-4a56-a123-cb44ae3d4712</t>
  </si>
  <si>
    <t>37aadc27-d8e3-487a-83ac-6b2c17f7f164</t>
  </si>
  <si>
    <t>0fa770ce-fd2b-4036-85ce-f24173938464</t>
  </si>
  <si>
    <t>ace11f5d-79a7-441e-baeb-bdc1f812f301</t>
  </si>
  <si>
    <t>553f1197-e50a-4df9-a374-c2c180a4c4c1</t>
  </si>
  <si>
    <t>b406ae6d-3929-4dcb-b69e-2d0390393ed0</t>
  </si>
  <si>
    <t>edb96906-3072-40c0-b30b-db873d44e508</t>
  </si>
  <si>
    <t>7e36244b-929b-400c-8eb5-69c2cfac4f4e</t>
  </si>
  <si>
    <t>ea2f70ef-ffb2-46f2-8bad-0fcb3a823233</t>
  </si>
  <si>
    <t>a38a65e8-2277-4776-acfe-a15110ef2c54</t>
  </si>
  <si>
    <t>c5579dbe-f7c3-4de4-b945-5745547b4b9c</t>
  </si>
  <si>
    <t>288ced20-93f2-40be-8b28-056894d3b32c</t>
  </si>
  <si>
    <t>e71da587-c21f-466f-a406-15af6acb9d7d</t>
  </si>
  <si>
    <t>eed77d83-eb3e-45c5-89aa-c105913c4eee</t>
  </si>
  <si>
    <t>b8f2cc5b-c8af-4f1f-a80c-050d3daffdd6</t>
  </si>
  <si>
    <t>710ba326-1094-4e69-9adf-3473bb12244a</t>
  </si>
  <si>
    <t>78d81af2-a15f-472d-aa71-5af6886c7449</t>
  </si>
  <si>
    <t>f66b2916-8a10-40ec-b36b-81c6135ed0bb</t>
  </si>
  <si>
    <t>982a86b7-c9c5-4d42-af57-64a6c14e2bb8</t>
  </si>
  <si>
    <t>4dfedb92-d8d8-4b81-8fdb-8560017b3c39</t>
  </si>
  <si>
    <t>5f50742b-edce-4c16-a9ce-7a019a44e917</t>
  </si>
  <si>
    <t>36e6e74f-2b96-4ff1-9b34-7736aab68144</t>
  </si>
  <si>
    <t>f7a36451-93af-4952-92df-7c68b5de12fb</t>
  </si>
  <si>
    <t>cce95cba-ef20-480d-a672-8dfddd287a02</t>
  </si>
  <si>
    <t>ccfeb1a4-1eae-40be-beb0-8022416385ec</t>
  </si>
  <si>
    <t>d28969db-8c72-442a-bc3e-e891dbc9e7a6</t>
  </si>
  <si>
    <t>62ae0a5b-b717-4d13-a6b9-59f28f06686c</t>
  </si>
  <si>
    <t>6d266ea8-268d-4cc9-a0e3-68b1b5833d98</t>
  </si>
  <si>
    <t>eccf4558-1c68-459a-a7e3-198dc13e83c0</t>
  </si>
  <si>
    <t>f49b4fcb-d57e-4f08-87e6-d08596ede20d</t>
  </si>
  <si>
    <t>2804f899-853a-4a94-b12c-07c705fd4391</t>
  </si>
  <si>
    <t>48b3a411-2500-485a-adaa-339c4481043b</t>
  </si>
  <si>
    <t>687867aa-0cc9-43b3-bf5a-139fa4b58412</t>
  </si>
  <si>
    <t>85355e76-eb98-4a25-aa13-b06c6e5afe06</t>
  </si>
  <si>
    <t>a8fe8075-3651-483e-a398-387bf4003e59</t>
  </si>
  <si>
    <t>8e72c8a9-2e55-4b13-9156-4ebd8e361513</t>
  </si>
  <si>
    <t>0cf0b853-9ae6-4bdf-9f0b-da9c3350c73c</t>
  </si>
  <si>
    <t>0fd002c2-fe24-4ca5-a967-bc8d37ebcec5</t>
  </si>
  <si>
    <t>4540606f-1582-491a-8771-92b791fd2ef4</t>
  </si>
  <si>
    <t>00312e9b-0f31-477a-9238-bc90127eee84</t>
  </si>
  <si>
    <t>e1d87025-67da-41ef-b94e-60289181079d</t>
  </si>
  <si>
    <t>67523245-15ac-4cb4-a124-e74b510ff549</t>
  </si>
  <si>
    <t>f2f846d2-44b9-46f4-8440-b7e3ec55b71c</t>
  </si>
  <si>
    <t>2e7198a7-34bf-4f02-9e4c-dde1685ae323</t>
  </si>
  <si>
    <t>b9b1c1d0-35f8-4443-95d1-5f48595706f4</t>
  </si>
  <si>
    <t>f0b5a485-e292-4d1a-8b96-949232331212</t>
  </si>
  <si>
    <t>c00ff101-ac4e-439e-af2d-c6d4c37a8916</t>
  </si>
  <si>
    <t>695464a1-0360-4977-82b9-b799d1e1c18c</t>
  </si>
  <si>
    <t>d4900e29-a863-47c3-96fd-2e3b27357782</t>
  </si>
  <si>
    <t>4917b81c-cd02-4206-ad96-3a791f60cd76</t>
  </si>
  <si>
    <t>8d6b2d6a-60bd-4a7e-8210-8869d931517a</t>
  </si>
  <si>
    <t>cdcbbd2b-1d8e-4c52-86ef-1252055abb50</t>
  </si>
  <si>
    <t>2d81e1f9-bbae-4f90-adcf-82fed1b9d1ce</t>
  </si>
  <si>
    <t>9d5f5c2f-e380-4670-a0ed-ac1895385ffa</t>
  </si>
  <si>
    <t>d801a1a3-f527-4612-b805-e42ffc1bcd6a</t>
  </si>
  <si>
    <t>07cc0e67-6b0c-4a8a-b148-66aa1a433100</t>
  </si>
  <si>
    <t>e522dfcc-9679-4558-9c5a-f6cf2161b8bd</t>
  </si>
  <si>
    <t>d35e0c09-b07a-4cc3-9ce1-c297b5f9625c</t>
  </si>
  <si>
    <t>0640e8b3-8e45-4f81-b92a-8218c794c1d6</t>
  </si>
  <si>
    <t>6ea4c3d2-cf4c-45f1-8dae-60a69a7cb292</t>
  </si>
  <si>
    <t>d48f229d-7adf-4d62-8209-b416c2bc59c0</t>
  </si>
  <si>
    <t>3bb9af03-e04d-478d-b288-fef4e8aacd73</t>
  </si>
  <si>
    <t>65457ffb-8c40-4aa2-9795-73e2faa4c16c</t>
  </si>
  <si>
    <t>9e6a91ac-3671-46b3-b847-e426ea33185b</t>
  </si>
  <si>
    <t>a93a46e1-173c-4987-937e-ffabcb4dbb53</t>
  </si>
  <si>
    <t>bfd4519f-8144-4fb8-9058-e095da851f14</t>
  </si>
  <si>
    <t>31453c09-dedb-4ed3-bd3a-ac38e7c94531</t>
  </si>
  <si>
    <t>03b67b06-9494-4341-8299-7ecf30b358bf</t>
  </si>
  <si>
    <t>fa16a1ce-a34a-4588-a80c-39e4c32b2d1d</t>
  </si>
  <si>
    <t>4957fcd2-41be-484a-8688-49eabc8a71f6</t>
  </si>
  <si>
    <t>569231dd-b4b8-4168-88a7-bddbc2f31470</t>
  </si>
  <si>
    <t>0716d738-d5f1-4d91-979f-02a8a8a67c76</t>
  </si>
  <si>
    <t>264daa34-917b-4bfb-a6ac-2a0ca70186aa</t>
  </si>
  <si>
    <t>11d8ef93-8a38-455e-b891-e8e4ea65af80</t>
  </si>
  <si>
    <t>4cdb64cf-9c3d-42b1-932c-d9f1492f4b21</t>
  </si>
  <si>
    <t>1b693302-eaff-44a7-9b9f-139cbb53c8f8</t>
  </si>
  <si>
    <t>e3f79b94-92f0-442a-b7e0-66c330ce1106</t>
  </si>
  <si>
    <t>bb16a9b4-9203-4d37-9a8b-e7161caecd08</t>
  </si>
  <si>
    <t>a3751d7c-3162-4799-baa0-18563bc6f87d</t>
  </si>
  <si>
    <t>5eb1cb14-f7e9-4d27-97f9-229d579cd2f5</t>
  </si>
  <si>
    <t>b202dad3-db19-4b03-ae44-f1f8071fff3a</t>
  </si>
  <si>
    <t>e305d811-ae33-4da0-87bc-3106f57bcb28</t>
  </si>
  <si>
    <t>0451ef9d-c7d3-465d-b65a-ac0cf1f9bb5d</t>
  </si>
  <si>
    <t>03704877-5adb-4386-bfa7-a3fe6a1c9ba1</t>
  </si>
  <si>
    <t>7807592e-03db-4755-9dd0-60e049740fba</t>
  </si>
  <si>
    <t>09404a83-8fd2-4ade-b9bc-a220161a7ba2</t>
  </si>
  <si>
    <t>ead58218-36cb-4001-893e-6ccd8f77306f</t>
  </si>
  <si>
    <t>89307441-81d8-420f-892f-2dc8ad4b2b67</t>
  </si>
  <si>
    <t>598b69fb-ff49-403c-bc7d-aa39c0ab10c2</t>
  </si>
  <si>
    <t>02b20446-de17-4e35-8cf5-150508641aaa</t>
  </si>
  <si>
    <t>edda4356-27b4-44c7-a32d-af34286c4fad</t>
  </si>
  <si>
    <t>cea17cb7-2ec5-4e01-b82b-1faf4eef8675</t>
  </si>
  <si>
    <t>98467952-4ce5-4cfd-9a2d-52bec91f8acc</t>
  </si>
  <si>
    <t>e64ddf46-bf11-4bba-8775-812f7cbcebf6</t>
  </si>
  <si>
    <t>9b030178-35ca-49fe-8e75-26e1f416c01d</t>
  </si>
  <si>
    <t>8772d851-2ba5-4300-8c9b-9f163531dac4</t>
  </si>
  <si>
    <t>b5847dd2-2901-4dc4-bafb-83208731dcf2</t>
  </si>
  <si>
    <t>eb92bf77-6e8c-461f-9953-e337f0155263</t>
  </si>
  <si>
    <t>f9653c4c-4ed6-4ea9-818a-c912b0d19376</t>
  </si>
  <si>
    <t>dd8c21b0-7df3-4764-8931-0e1ce1187840</t>
  </si>
  <si>
    <t>9b5534ed-be66-48d0-88d4-51606d7730c4</t>
  </si>
  <si>
    <t>8842b340-1989-4d1e-b7e7-dfd8bab2b0b6</t>
  </si>
  <si>
    <t>0d88acd3-6ee6-472c-98dc-528d9ba5b11c</t>
  </si>
  <si>
    <t>b73238b4-a5b0-4efd-8a04-edc5f8fc4c88</t>
  </si>
  <si>
    <t>81392ecf-67a0-4612-bbf2-126bdc1a04f6</t>
  </si>
  <si>
    <t>baf4ed5f-b5fa-4f33-b337-a50813a3fbeb</t>
  </si>
  <si>
    <t>fcfa5199-fa93-44f5-9bd7-8c581b80dd57</t>
  </si>
  <si>
    <t>3b12e7d0-4b3e-4f3a-b592-bdba8001f535</t>
  </si>
  <si>
    <t>67e98e68-9a2e-41d7-95f1-e7a7742adaf6</t>
  </si>
  <si>
    <t>eaa3a35b-77bc-43a4-b545-ec3caffef0ab</t>
  </si>
  <si>
    <t>12ae6679-4f81-4173-a57a-10dc31175049</t>
  </si>
  <si>
    <t>01f88ec8-dc38-4088-a832-e240a8806017</t>
  </si>
  <si>
    <t>e66de3e0-5fc0-4972-a78c-281baa67f47a</t>
  </si>
  <si>
    <t>6eca71d2-06e9-472e-9806-772c940b5cce</t>
  </si>
  <si>
    <t>91caffa5-c29e-4d7b-933b-8c1b0755b364</t>
  </si>
  <si>
    <t>40c11d07-aaaf-4bd2-a7b5-afb2fbf87952</t>
  </si>
  <si>
    <t>e6804cfb-2246-4659-b442-00ecd3500dfd</t>
  </si>
  <si>
    <t>4a735dfe-d690-42ce-853b-0bdf3652cfc9</t>
  </si>
  <si>
    <t>1edf5d34-a892-4484-a156-8343ef9e52c0</t>
  </si>
  <si>
    <t>296c363c-c6b4-4286-97c5-eab24362a853</t>
  </si>
  <si>
    <t>e908415c-720c-4168-a6ba-2d3afaadd2cd</t>
  </si>
  <si>
    <t>a2aacb7c-79f4-4d90-9cf3-bb38bcbd38b6</t>
  </si>
  <si>
    <t>32a4f5d3-6f97-41d4-b7c0-ac4350227dac</t>
  </si>
  <si>
    <t>127d495e-3624-486c-8ef1-c98d148c47a7</t>
  </si>
  <si>
    <t>f4c721c5-4e97-427e-b39d-63a6629a97d4</t>
  </si>
  <si>
    <t>b4bb6bac-b81b-45b9-a3ae-0d180cc9608c</t>
  </si>
  <si>
    <t>c8477726-fa7b-44d2-b9a7-365204ed25b2</t>
  </si>
  <si>
    <t>68078485-2573-4f3f-91a6-6d7beb745e95</t>
  </si>
  <si>
    <t>deaf1fe6-f5f6-4599-b3e9-62532e26a231</t>
  </si>
  <si>
    <t>57af9c1f-9be3-4b1b-be9e-11455666cf3a</t>
  </si>
  <si>
    <t>c829058e-0e3a-4cfc-a834-cd6bda6cff80</t>
  </si>
  <si>
    <t>05720c28-b16e-483e-8e37-15c6922be935</t>
  </si>
  <si>
    <t>f6ee248a-5031-4108-a1f6-cdb10b19a2c0</t>
  </si>
  <si>
    <t>523fd10e-ba86-471a-ad52-7f1f39426a97</t>
  </si>
  <si>
    <t>226eefec-5315-4c73-817a-7eb71956df0d</t>
  </si>
  <si>
    <t>124f4edb-bae9-483e-9540-54e1b879d286</t>
  </si>
  <si>
    <t>f2403170-4ee1-473e-b625-eddc702a3e57</t>
  </si>
  <si>
    <t>d9ba9b7f-2058-4d98-9477-f5a4eaa2eb8c</t>
  </si>
  <si>
    <t>0cfb4306-5cc0-40ad-8e1e-4e9be0354e56</t>
  </si>
  <si>
    <t>04b32ff0-dc43-4bd3-9fc2-fd4fd6711f80</t>
  </si>
  <si>
    <t>e47ed055-0514-4fca-9b7e-8d7993391e12</t>
  </si>
  <si>
    <t>ce5d2472-3e00-42aa-ac93-a4239f2a26e4</t>
  </si>
  <si>
    <t>3daa2a0a-0cd4-48eb-8120-5846e3329d2e</t>
  </si>
  <si>
    <t>e32fc523-5f14-43e5-8cb8-7bf106db04b5</t>
  </si>
  <si>
    <t>ea07ab08-3bc7-45f6-b76f-428f72296893</t>
  </si>
  <si>
    <t>cfad9ec9-271d-415b-9c00-f69305e55bef</t>
  </si>
  <si>
    <t>c99efe23-5c86-4485-b999-531ec9026a6b</t>
  </si>
  <si>
    <t>ebf22380-0aef-4e15-8bd5-e1a1101dbcd3</t>
  </si>
  <si>
    <t>9545db2e-6671-4190-83cd-c6f7438d817f</t>
  </si>
  <si>
    <t>20118e61-28b8-40cc-ac1b-3e96109b6fd8</t>
  </si>
  <si>
    <t>bed90a6f-759a-471c-9474-76994d7d91e8</t>
  </si>
  <si>
    <t>41a11125-b6d0-40e7-a33a-cb4d21b80251</t>
  </si>
  <si>
    <t>32d03bca-5199-4377-a059-a7e726e198e6</t>
  </si>
  <si>
    <t>72ce56b4-a7f4-45a6-badf-56edd9f3edad</t>
  </si>
  <si>
    <t>2a93e515-b3bb-42ad-bda3-0181fbdeb374</t>
  </si>
  <si>
    <t>6840c3ab-8ab7-4bea-a8d9-fc843c733970</t>
  </si>
  <si>
    <t>158dc729-fc96-41e3-bf3e-605bbe3a191e</t>
  </si>
  <si>
    <t>0d23119e-825d-4d4c-ba72-d6ff70c331a2</t>
  </si>
  <si>
    <t>d0ed298b-7148-445d-bb51-2252f9541b1f</t>
  </si>
  <si>
    <t>a5aeb264-bfec-4bae-aeed-257b28e64a08</t>
  </si>
  <si>
    <t>4f683f96-362b-43fb-a2fa-f36c1ae646ef</t>
  </si>
  <si>
    <t>6efd81c0-02b2-41cb-893b-f7cc0547853e</t>
  </si>
  <si>
    <t>d7ab81ac-a61a-4c6a-8983-e9b37a79de3f</t>
  </si>
  <si>
    <t>d197111c-5887-405e-ba4a-53f587c064a5</t>
  </si>
  <si>
    <t>813aa244-ec6a-4d3b-863e-422090290632</t>
  </si>
  <si>
    <t>4a5d060b-04da-4604-94a5-3c4cb097019c</t>
  </si>
  <si>
    <t>99c1005e-7265-4f01-be0f-327799f5375e</t>
  </si>
  <si>
    <t>95fd863a-fee8-459c-9007-80fcfacd35c3</t>
  </si>
  <si>
    <t>17a88782-ead0-47ee-b839-4211ef3cc413</t>
  </si>
  <si>
    <t>fec2c7d8-5fc2-4d31-82de-ab66c4dcb8b4</t>
  </si>
  <si>
    <t>4b6d6185-40d7-4061-b258-4929338ecd14</t>
  </si>
  <si>
    <t>9c5d8d0c-c889-47df-b7c5-6e78f614feba</t>
  </si>
  <si>
    <t>dcc9717a-f497-4537-bc5e-fd8c661d075d</t>
  </si>
  <si>
    <t>df54409d-ae3f-4744-8eb5-987b7e81bf7c</t>
  </si>
  <si>
    <t>9209b168-a60a-4f57-a541-3f3cc0a05304</t>
  </si>
  <si>
    <t>86d65bc7-d4a4-4e06-8683-611821f6e7ea</t>
  </si>
  <si>
    <t>a24ab964-880b-4f60-afee-daf4ec210e07</t>
  </si>
  <si>
    <t>a47128f8-bd4c-4d3d-83cc-9e917115f0d3</t>
  </si>
  <si>
    <t>54e58deb-0938-49f1-99d0-2aedfb095a30</t>
  </si>
  <si>
    <t>69f538a0-a0d5-413c-80c1-4616d9179276</t>
  </si>
  <si>
    <t>995089c8-7ee1-432c-81f1-26698409d518</t>
  </si>
  <si>
    <t>93c44b81-ad87-4c38-8375-a0af95ef3537</t>
  </si>
  <si>
    <t>b554fee5-2802-4c50-94c4-e39669ddbe95</t>
  </si>
  <si>
    <t>6555f252-a2fb-47c0-ab7b-92256bac1009</t>
  </si>
  <si>
    <t>49a02aea-baec-485f-ba9e-e7e8f706c884</t>
  </si>
  <si>
    <t>79dad2bb-a7eb-41a7-8e6f-8523342bd66a</t>
  </si>
  <si>
    <t>b8df8d3d-0b7f-4ba4-8897-94f45b34ec84</t>
  </si>
  <si>
    <t>ecd17947-b3d3-4604-9bfe-0fcc713fda14</t>
  </si>
  <si>
    <t>b27221cc-8a8c-4864-b230-18ae46b92ce0</t>
  </si>
  <si>
    <t>20f450bf-1e77-4679-99cb-af345a97bac1</t>
  </si>
  <si>
    <t>7c092beb-4eb9-41c6-b10a-614acc2ca33b</t>
  </si>
  <si>
    <t>fd0db7ab-dfc8-42fa-b80c-ef24103d761d</t>
  </si>
  <si>
    <t>9b02122b-d677-44e9-9efb-e2c3686b6aa9</t>
  </si>
  <si>
    <t>4284d3ae-487e-4418-9502-b4df6430a5eb</t>
  </si>
  <si>
    <t>45c606d5-ecfa-4d64-aea1-8e3290edd590</t>
  </si>
  <si>
    <t>714c6f42-9c3c-4796-aa33-618fd0c61dc0</t>
  </si>
  <si>
    <t>c30d786a-489b-45be-93ae-974ff3d56a60</t>
  </si>
  <si>
    <t>6dd30164-b902-462c-a101-93aaec03f939</t>
  </si>
  <si>
    <t>6fed2e78-01c2-46a9-af5f-26e0235af9f3</t>
  </si>
  <si>
    <t>c51787ff-d7df-420e-9efd-ef25524fde40</t>
  </si>
  <si>
    <t>8c1929fa-ca1d-4258-bc3c-ed6882b6ad78</t>
  </si>
  <si>
    <t>edc335e8-169a-46d6-9cfe-4a9e3a03d196</t>
  </si>
  <si>
    <t>6115936e-6a95-4ce5-aab6-6702a1d2ae2a</t>
  </si>
  <si>
    <t>5ede57f1-bfff-44ca-a885-fd1f8fa475ed</t>
  </si>
  <si>
    <t>e3b4d2c9-f8f0-4847-85f6-8101bd605646</t>
  </si>
  <si>
    <t>101c823d-d7ef-4f5f-beac-187a465c543a</t>
  </si>
  <si>
    <t>d724c290-50f5-4884-9f24-a999643b73cc</t>
  </si>
  <si>
    <t>138d36f3-0adf-4c63-b11e-090e0d785b64</t>
  </si>
  <si>
    <t>257ea41d-6644-4886-8959-717f6e4655a5</t>
  </si>
  <si>
    <t>de1b5e3a-7a6f-4df1-99f5-43e6ce4228f2</t>
  </si>
  <si>
    <t>902f9906-7f4f-4708-8068-016058360080</t>
  </si>
  <si>
    <t>dbc5fd71-c7f5-4276-9b80-14d87b360dbd</t>
  </si>
  <si>
    <t>5b5885d6-c7a1-4b4b-9388-a4990e722514</t>
  </si>
  <si>
    <t>12abd369-36de-42b5-b418-b1cc7608d4cc</t>
  </si>
  <si>
    <t>4342f3dc-106e-454d-bfaf-8f008c36630a</t>
  </si>
  <si>
    <t>3e7b9f07-1d4d-4925-9f96-f281d3f112f1</t>
  </si>
  <si>
    <t>bd60787e-502a-486c-9b3d-17f8a8b59701</t>
  </si>
  <si>
    <t>36a9df96-1f02-482d-a7bc-06ac0edcf10e</t>
  </si>
  <si>
    <t>de4b5d39-ea62-4d2f-be01-c0fa27742bab</t>
  </si>
  <si>
    <t>fc813c68-7c6c-4e79-b8c3-00dc20458bc5</t>
  </si>
  <si>
    <t>83ecbec0-4dc7-4be5-840c-7d7efec55fa1</t>
  </si>
  <si>
    <t>becc3785-abb6-4edb-aad3-5effcedfcf0d</t>
  </si>
  <si>
    <t>62cdb173-563d-408c-b33f-1d7b14d2fc70</t>
  </si>
  <si>
    <t>8895b156-85a0-4f1f-965e-d9d6d378e04e</t>
  </si>
  <si>
    <t>47290997-c893-4c68-a7b4-c3eaf5e849a8</t>
  </si>
  <si>
    <t>22af0679-e7d6-4aa4-83af-67e4c22ce6ba</t>
  </si>
  <si>
    <t>5c430ce2-e2c9-4096-bfd9-b4697f03c2b2</t>
  </si>
  <si>
    <t>f2971814-13f8-4adc-b04c-4e45a902af17</t>
  </si>
  <si>
    <t>065c0a64-764a-4f48-9316-328092c6ae59</t>
  </si>
  <si>
    <t>6100a5b4-1f2f-49ab-9b85-eebf1e379893</t>
  </si>
  <si>
    <t>f975d65a-1eec-4c0b-a5d1-7c2641f665dd</t>
  </si>
  <si>
    <t>7d34bfee-a414-4448-801f-9df1b7981139</t>
  </si>
  <si>
    <t>9dfb6297-a90a-4880-be1d-61e6456f23d5</t>
  </si>
  <si>
    <t>447b967a-a40c-43e8-bc0f-59ab2b8e7611</t>
  </si>
  <si>
    <t>533c7857-61b7-4f4f-94ff-44d7fccdb6a4</t>
  </si>
  <si>
    <t>b32da80a-d6e5-4413-bc04-dc1f3855e353</t>
  </si>
  <si>
    <t>28a4a6a7-9e9b-47b4-97cb-f8a925250f98</t>
  </si>
  <si>
    <t>66541353-0f98-47dc-97f5-07504394e29a</t>
  </si>
  <si>
    <t>97678419-fac3-4a37-a1d8-79722233dddf</t>
  </si>
  <si>
    <t>5043aff1-ab7e-4163-85ff-f04d1af5cacd</t>
  </si>
  <si>
    <t>cc5e185b-8d98-43f4-89bc-f7ec14165889</t>
  </si>
  <si>
    <t>937e5e33-1bbd-4461-9c92-3f56cabdd4c4</t>
  </si>
  <si>
    <t>d8cc61ec-dcca-4443-9d3a-daf227f10747</t>
  </si>
  <si>
    <t>7c9229fb-84f2-4568-a634-fd880d924c2a</t>
  </si>
  <si>
    <t>25c488ef-02e9-43c6-ab93-9d93eed754ff</t>
  </si>
  <si>
    <t>dcb0c840-2515-4cae-8922-57c020ac9321</t>
  </si>
  <si>
    <t>fa7d1def-1f23-403a-a3d6-b4c40f059026</t>
  </si>
  <si>
    <t>5ab0a733-4c0e-4c4b-96cd-ecc9eb49b3af</t>
  </si>
  <si>
    <t>60fcf8de-97ac-4062-a4c0-10e1b348ff02</t>
  </si>
  <si>
    <t>56e76f06-2eee-4b63-8b6c-481e3ddc2146</t>
  </si>
  <si>
    <t>af81e9f2-5fbb-4685-aaec-c583e7cd867d</t>
  </si>
  <si>
    <t>522d0dba-dddd-410a-82c5-6d2d6058f53f</t>
  </si>
  <si>
    <t>486e8229-f410-49be-a96d-a60b65e7a6d9</t>
  </si>
  <si>
    <t>55dd22df-ded5-4817-8873-b19bafb0fd09</t>
  </si>
  <si>
    <t>bef87eea-79bf-4aac-84a6-69bb482e63fe</t>
  </si>
  <si>
    <t>a73c6575-41ff-46ec-8b83-d22d14f13b7e</t>
  </si>
  <si>
    <t>16f3ef11-caf1-4b61-9405-d037c523658a</t>
  </si>
  <si>
    <t>702737b2-bdba-4dac-9667-f35f4472af5d</t>
  </si>
  <si>
    <t>8ff348ea-c5ac-4181-85f0-b609b2e01ab8</t>
  </si>
  <si>
    <t>ee52ebed-bcba-4705-9e26-c6dc00f3bbae</t>
  </si>
  <si>
    <t>330a5a70-3673-45f9-aa9d-a1478007537f</t>
  </si>
  <si>
    <t>e2397c8c-2c6e-41ca-bfd8-bbac121a717f</t>
  </si>
  <si>
    <t>370501e5-75fe-42b3-86cb-a770a7f8b973</t>
  </si>
  <si>
    <t>a542483b-518b-46f7-b72d-91f02c7c2e39</t>
  </si>
  <si>
    <t>b9435d93-adf4-47a9-a85a-714a63fd5f40</t>
  </si>
  <si>
    <t>fa34bae0-6201-4987-88cf-482b6a8637ff</t>
  </si>
  <si>
    <t>07926ac5-2d60-4b08-b059-b8734e965180</t>
  </si>
  <si>
    <t>02f7c8cb-d3c0-42b1-832e-bd1db1fc4e1b</t>
  </si>
  <si>
    <t>fa66aa6f-3e00-4602-a259-e076ce3f3eca</t>
  </si>
  <si>
    <t>ffd8f319-9a2f-4966-a822-b515c45e4113</t>
  </si>
  <si>
    <t>5b402939-34cd-4704-bc2c-000515a588f2</t>
  </si>
  <si>
    <t>e2226b31-fdbc-48e9-8e3b-f5f6ca89a334</t>
  </si>
  <si>
    <t>7f09cc98-91c0-41dc-bca9-522554a4c70e</t>
  </si>
  <si>
    <t>c4926918-ccfe-43ca-bca6-7ba359edc4cd</t>
  </si>
  <si>
    <t>e7181dbd-d5d0-409c-8bf2-f28d070546cc</t>
  </si>
  <si>
    <t>b71ce7c3-8f93-4da6-8ae9-e13e24b8274e</t>
  </si>
  <si>
    <t>0a7cbaa6-cc84-448c-aee9-12fdf5bcdcaf</t>
  </si>
  <si>
    <t>ef7764c9-e366-4dd5-9734-859dd0fa4567</t>
  </si>
  <si>
    <t>4c4778ec-449d-4d57-9808-78ba1a8a8c5e</t>
  </si>
  <si>
    <t>0cf3dac6-d6cb-4ee7-848c-47fa42e849dd</t>
  </si>
  <si>
    <t>51ed694e-253c-4beb-8f92-8bed842cfdf0</t>
  </si>
  <si>
    <t>664d32dc-8493-4e09-b882-d78adfb8bc5a</t>
  </si>
  <si>
    <t>bccb3359-f977-4263-98bd-30054355adae</t>
  </si>
  <si>
    <t>bfd50c80-d4f0-4b37-a0c2-54561b8c14b1</t>
  </si>
  <si>
    <t>a816f57c-225d-4c60-9dd3-d6851b3314b7</t>
  </si>
  <si>
    <t>603d2426-374c-47f4-88c6-f7dc3884eeab</t>
  </si>
  <si>
    <t>ac13b4e0-495a-476f-8f01-5961c36c96d0</t>
  </si>
  <si>
    <t>ee796f23-36b9-461b-9d44-7db6da1f9cff</t>
  </si>
  <si>
    <t>b67e3abd-d02b-4ad9-99e4-1560c448eb4d</t>
  </si>
  <si>
    <t>598aba30-b453-4303-a828-c8506166a299</t>
  </si>
  <si>
    <t>7a48861a-1476-4163-b0ee-d5b512aa6fd2</t>
  </si>
  <si>
    <t>12c0c9a6-6ff1-41ad-b83d-9d9cefcd3d64</t>
  </si>
  <si>
    <t>b16f178c-584f-45ef-960d-b8aa19fe6c7c</t>
  </si>
  <si>
    <t>7948014c-1fbb-42dc-ab7d-2dbebc854acf</t>
  </si>
  <si>
    <t>b58d2879-fbd7-466c-bc9d-0fce2285465a</t>
  </si>
  <si>
    <t>91a489b5-17bb-4221-9de9-1a75a3973a39</t>
  </si>
  <si>
    <t>bfef0b59-1392-4d47-bdb5-a77487283141</t>
  </si>
  <si>
    <t>b5818261-45ee-440c-8554-03bd036ad480</t>
  </si>
  <si>
    <t>f7e41687-f050-4874-bd65-cdd85606f565</t>
  </si>
  <si>
    <t>d9d22bec-b59b-44ac-a46c-9fc69b0367db</t>
  </si>
  <si>
    <t>4ec00f04-6d26-4e30-9cb0-72658e1240dd</t>
  </si>
  <si>
    <t>e67d8e6c-422d-48e8-b13e-86a51ff73eb3</t>
  </si>
  <si>
    <t>73c2ced1-5d42-4bdb-9826-d8b8d5b57823</t>
  </si>
  <si>
    <t>ca6b1f60-38f4-48c4-91f5-5f8f20685786</t>
  </si>
  <si>
    <t>359e2b12-9ba1-45b7-9623-087781b129b3</t>
  </si>
  <si>
    <t>28409875-8c3f-4d7c-be01-f47913ebcfbc</t>
  </si>
  <si>
    <t>d0e7fb4a-a996-43c6-8e4a-29308c6679a7</t>
  </si>
  <si>
    <t>a661fa42-a5f1-4179-8dd0-110a4a150b87</t>
  </si>
  <si>
    <t>07b8fa63-8a36-443f-8ff9-2e3490e5b340</t>
  </si>
  <si>
    <t>f1dda98d-6840-4634-b477-5380a649a042</t>
  </si>
  <si>
    <t>05443963-da20-4f77-ac8c-9493a58afa0c</t>
  </si>
  <si>
    <t>dfb2cb0f-0250-45a0-b391-db325a26edae</t>
  </si>
  <si>
    <t>8322dbe0-8345-428b-9daf-c7c8605629b0</t>
  </si>
  <si>
    <t>1b64d701-32b6-4f77-badb-648802f8d07e</t>
  </si>
  <si>
    <t>7b66806b-afd8-4c09-a0dd-57372706a9f2</t>
  </si>
  <si>
    <t>f2da3df7-cc00-4c9d-9c4b-6e5259f8b332</t>
  </si>
  <si>
    <t>8ebe2238-2f5c-4ce3-84b0-1d84a02fcf07</t>
  </si>
  <si>
    <t>6f9ce2e7-e97e-4884-b166-080d24d20908</t>
  </si>
  <si>
    <t>a0fdb505-2762-4122-be41-ed564c85539d</t>
  </si>
  <si>
    <t>ad41d7b2-c463-4312-9a52-2b0282f0eaa4</t>
  </si>
  <si>
    <t>ae5510b1-78bd-451e-a016-06c1a0e12600</t>
  </si>
  <si>
    <t>e8dd4cbd-f5bc-4a04-9b45-2325ff463cd6</t>
  </si>
  <si>
    <t>d5b077fb-dbc9-441e-8f3e-246ac43a8e8b</t>
  </si>
  <si>
    <t>fbc1da49-3375-4150-98bd-4970828b8670</t>
  </si>
  <si>
    <t>83063188-420c-49f3-8781-90dafe005e5f</t>
  </si>
  <si>
    <t>485132d1-e558-4c70-a0af-2405e9e5d27b</t>
  </si>
  <si>
    <t>ce212520-db95-406e-a4d2-88efe55932dc</t>
  </si>
  <si>
    <t>373a61b3-c82b-4e68-b1dc-609bff3a4ebd</t>
  </si>
  <si>
    <t>a0438339-53cb-4514-8223-97993b5f839a</t>
  </si>
  <si>
    <t>86ff003c-df69-4925-a5ae-8ed2d7bca972</t>
  </si>
  <si>
    <t>0c6596f5-ce2f-4c6c-a610-ef6aaba63fcf</t>
  </si>
  <si>
    <t>17115357-99a7-476f-8f25-d96aaa99c425</t>
  </si>
  <si>
    <t>6e4e8394-1ccd-4b10-9b16-43b1cc10dcc6</t>
  </si>
  <si>
    <t>0a305c80-963b-4ba8-bc01-eab6f9cb079b</t>
  </si>
  <si>
    <t>a738ba95-f1a1-4840-9a75-bbaff1969f1c</t>
  </si>
  <si>
    <t>b8501e2e-905b-4386-b2f7-6e2c9b8c9f70</t>
  </si>
  <si>
    <t>c2547d6e-7a3e-4a0c-8a9a-aa6eb269416b</t>
  </si>
  <si>
    <t>a41f08ec-f9d9-4c15-9050-b522a454e1d5</t>
  </si>
  <si>
    <t>fe2e54d0-6a78-4466-a225-86e12e678624</t>
  </si>
  <si>
    <t>41c1d787-a0e3-4deb-9f3f-07f95f498137</t>
  </si>
  <si>
    <t>5f8267f0-3ecb-4a54-92eb-acb84fba927b</t>
  </si>
  <si>
    <t>0ee12c5b-4bad-4ebb-be74-aff9c4b13f81</t>
  </si>
  <si>
    <t>1d4a8fb7-5fb5-4178-9cbe-92ba1c41a624</t>
  </si>
  <si>
    <t>244ff6c1-a5eb-4eaf-8e80-6844a395924c</t>
  </si>
  <si>
    <t>b85c534a-c543-4a85-89b1-ca4f89c42ad2</t>
  </si>
  <si>
    <t>480db45a-c2ea-425f-9ed1-623f94c0dabe</t>
  </si>
  <si>
    <t>451c7f23-af3c-4b24-98e7-b57347e317ec</t>
  </si>
  <si>
    <t>4eb15ce3-1e79-4ccb-822b-cecd8adbd220</t>
  </si>
  <si>
    <t>9d372a54-f1fb-4103-8cfe-7b37a12fc4c9</t>
  </si>
  <si>
    <t>763f933c-3f4e-40cf-a0ba-2f2fa23f70d4</t>
  </si>
  <si>
    <t>494ee7fb-b38f-4f3a-968f-5dc9ce6d7c29</t>
  </si>
  <si>
    <t>db575c89-0b79-4e09-9d94-c652b0cbf631</t>
  </si>
  <si>
    <t>39ba26d8-a097-4bee-9c26-7a729f93104c</t>
  </si>
  <si>
    <t>239787aa-425e-4149-97eb-4e0bcbc64f93</t>
  </si>
  <si>
    <t>16b8961f-0f02-47de-99ce-b47b14f02a08</t>
  </si>
  <si>
    <t>ed8c1ba3-e29c-417f-99a5-aacc1bbc1c3c</t>
  </si>
  <si>
    <t>ac4ad9e0-afb9-4704-a8b9-014058d91ed8</t>
  </si>
  <si>
    <t>25b3efa1-2997-4553-bdcc-4f610a354251</t>
  </si>
  <si>
    <t>46fe9ca8-21a3-4baf-8f92-0a742ca33525</t>
  </si>
  <si>
    <t>d33a0e55-fc25-435e-b400-e0abd915fa97</t>
  </si>
  <si>
    <t>8cf8dc0d-445a-4f97-8eae-f8e9be498f2c</t>
  </si>
  <si>
    <t>251303a9-c4a3-49c5-9ff7-66d8ae47862d</t>
  </si>
  <si>
    <t>e4ed8e4c-6f20-4a8a-9805-9acd994ca993</t>
  </si>
  <si>
    <t>1d65799a-70dc-488e-b5df-7c844c86e7ac</t>
  </si>
  <si>
    <t>62fe2832-edd7-4f4d-b3b8-0a5eaf8e1fc8</t>
  </si>
  <si>
    <t>17caf98f-5476-4be1-8c82-b66a2dcbc47a</t>
  </si>
  <si>
    <t>2217e4f0-875d-40a5-b418-9f4f8f9e4717</t>
  </si>
  <si>
    <t>a33205e4-7396-4513-ab09-c0375d466a35</t>
  </si>
  <si>
    <t>6290cf3c-5cab-4eae-ae75-ea5954aa8b6a</t>
  </si>
  <si>
    <t>19dd405c-5aad-4e07-b269-a996acdc4898</t>
  </si>
  <si>
    <t>b9ede320-120d-4154-bede-d2f5dd0bb144</t>
  </si>
  <si>
    <t>5804d703-87bc-4658-a7eb-c4bc4b41cc0d</t>
  </si>
  <si>
    <t>bd53670a-91d6-40d5-93f3-149564ccad38</t>
  </si>
  <si>
    <t>7fd18a2b-5bef-4976-9e78-ebf1ce596bc9</t>
  </si>
  <si>
    <t>de0793ef-8fd6-49ba-8c90-6a35495809d0</t>
  </si>
  <si>
    <t>026448de-b6b2-49db-82e9-f5d3acf16536</t>
  </si>
  <si>
    <t>71120ac8-7ade-48c1-8ba9-6fc44c325223</t>
  </si>
  <si>
    <t>6f4894d2-cb88-4142-ab9e-c7475f1be07c</t>
  </si>
  <si>
    <t>faaa91ce-95c5-4ed5-b933-b95e73bee895</t>
  </si>
  <si>
    <t>3dede83a-bdc3-41d8-b339-927623093064</t>
  </si>
  <si>
    <t>266835e4-3fd5-4205-9fe6-abfac00e8dbc</t>
  </si>
  <si>
    <t>42733d51-7363-4980-9a4e-978946360e41</t>
  </si>
  <si>
    <t>145d0cf8-afc8-4e11-8384-d445a79bfa99</t>
  </si>
  <si>
    <t>ffa54ff9-0a2d-41e6-b897-3163faa3740f</t>
  </si>
  <si>
    <t>05accd16-bf72-472b-8a14-af753994c16b</t>
  </si>
  <si>
    <t>d2c2aa33-b05b-4277-ae9b-2e2590a0f63a</t>
  </si>
  <si>
    <t>e6c5c226-6317-4660-94a7-c3cbace8d8a7</t>
  </si>
  <si>
    <t>487facbd-18c0-4479-b7d3-a06431082cf0</t>
  </si>
  <si>
    <t>59f467fc-66eb-4fee-876b-f8f19c6d3e80</t>
  </si>
  <si>
    <t>da130f11-6453-451c-a82b-7747fdf930b6</t>
  </si>
  <si>
    <t>883dcfe0-d628-4bce-ab96-17f2ce0306a2</t>
  </si>
  <si>
    <t>b7d60337-7f09-42da-9aba-92a36b3a4d8c</t>
  </si>
  <si>
    <t>f01ba7c6-40d8-45df-9e56-ed6b8f20d40c</t>
  </si>
  <si>
    <t>56ba48a8-7a38-49ae-89e5-6c2398c5df39</t>
  </si>
  <si>
    <t>d2cbdb76-efeb-4005-95e0-9b64bf9aec86</t>
  </si>
  <si>
    <t>c847a230-cfa4-462f-b7ce-36e4749ec83c</t>
  </si>
  <si>
    <t>cf2ba170-3ca6-4a15-a331-77f567aea6af</t>
  </si>
  <si>
    <t>13150889-9dd9-47e2-9314-fe8b3aa610f2</t>
  </si>
  <si>
    <t>64df4b31-7272-45a2-a607-170caac871c4</t>
  </si>
  <si>
    <t>e2054f49-5ede-4eb4-a6af-6b61b9cf7d58</t>
  </si>
  <si>
    <t>f89adc57-36e2-401e-b38c-74f9e3e16c78</t>
  </si>
  <si>
    <t>01c37d96-aa97-43a6-a9f6-31bf794546d6</t>
  </si>
  <si>
    <t>3a035238-284b-42a0-bb68-3d9b0a850058</t>
  </si>
  <si>
    <t>09802cd0-e10a-4bba-b649-1f0baa2604a4</t>
  </si>
  <si>
    <t>7e1ad6ee-78df-4451-bddd-6db03fd71211</t>
  </si>
  <si>
    <t>f1438dae-4bd7-4dad-82e2-85bf044c8e13</t>
  </si>
  <si>
    <t>bd0244d0-5bd9-403e-a8f0-8d3d9a67610c</t>
  </si>
  <si>
    <t>f9d1332f-6481-403f-bc4c-7dcafe6a8ea6</t>
  </si>
  <si>
    <t>1f42de25-9e20-41e0-982f-bafa11b7ff59</t>
  </si>
  <si>
    <t>4bec6d8f-d015-4575-8155-641b8a6ab329</t>
  </si>
  <si>
    <t>d80abcb0-4359-46b8-8368-5522e7bbc11f</t>
  </si>
  <si>
    <t>4c4020dc-91ad-4cd9-ae9b-3420754230c9</t>
  </si>
  <si>
    <t>cd05d7ce-4b57-4f74-a38e-903c9f897ddf</t>
  </si>
  <si>
    <t>de40cf9b-96de-4b8d-9791-7681e7657ebe</t>
  </si>
  <si>
    <t>c707f835-69f6-4c68-9136-6e4da9f97488</t>
  </si>
  <si>
    <t>e8853c16-7bdc-420f-940a-ec71208c9ea1</t>
  </si>
  <si>
    <t>3d184f97-3916-41fc-b8bc-f56f7a3c710c</t>
  </si>
  <si>
    <t>be5383c0-8c53-48b9-a2fb-2e32c28b1e85</t>
  </si>
  <si>
    <t>e3f23b9c-6792-430a-bdc3-a9f6c19a6be5</t>
  </si>
  <si>
    <t>6da5a8ba-0586-4c4c-99d3-b4eb99f15bc6</t>
  </si>
  <si>
    <t>8f4e5d2f-e2e7-445d-bfd4-69c533e6c609</t>
  </si>
  <si>
    <t>9b0fa65a-8ace-4b6a-94f1-16b5813eed6a</t>
  </si>
  <si>
    <t>633505ed-e0b4-464d-9c82-da638d756e4e</t>
  </si>
  <si>
    <t>67a34953-ebb7-47d6-b33d-0e623adaad37</t>
  </si>
  <si>
    <t>7c42eb83-8de4-4c7c-b177-db20d01fd487</t>
  </si>
  <si>
    <t>6ae4c8b0-e479-4c79-a0e9-a44f9f4c65b9</t>
  </si>
  <si>
    <t>2e6a624b-b551-485e-9e26-79abd35dbf6e</t>
  </si>
  <si>
    <t>5af76919-0478-43de-80fa-4bb0f73aaaec</t>
  </si>
  <si>
    <t>db1a3e71-59b1-462e-abbf-395a4332b9c6</t>
  </si>
  <si>
    <t>bee3515b-e948-40fb-9563-7e1adbb1c03f</t>
  </si>
  <si>
    <t>589d33f2-78a4-43f4-a162-ae349d643cc3</t>
  </si>
  <si>
    <t>589f5347-1ba8-4092-bd48-b38a72bf88ca</t>
  </si>
  <si>
    <t>2a3532f2-c2c7-47e8-a6ff-bb33cedae72b</t>
  </si>
  <si>
    <t>03c83ffa-1e47-42f8-b46f-7a62719d20ec</t>
  </si>
  <si>
    <t>ead5e6c5-e100-490c-9fcd-61b52be7f27e</t>
  </si>
  <si>
    <t>9a3c1bd6-18e9-45ff-b0eb-ddad4c43d186</t>
  </si>
  <si>
    <t>6418af4e-7994-44e9-80c9-7a947c117633</t>
  </si>
  <si>
    <t>bd1d14ca-cf91-4f63-aabf-0876487502c5</t>
  </si>
  <si>
    <t>3c8698c1-fee5-45ec-813a-b7fca6d0fbb7</t>
  </si>
  <si>
    <t>e599bc4a-f838-423c-9c3e-71c451ae7fe8</t>
  </si>
  <si>
    <t>6dce4540-665f-4f12-82bc-5a9ca4b74e08</t>
  </si>
  <si>
    <t>32902a2b-eb6f-4c5e-97ae-e7e2be9bdd6d</t>
  </si>
  <si>
    <t>1368e2c2-30c3-4435-b94a-da01d9725ee6</t>
  </si>
  <si>
    <t>7746a16c-1769-4f56-97cd-69cb46b82932</t>
  </si>
  <si>
    <t>75bfbced-ce57-440d-a46d-34a05c675c99</t>
  </si>
  <si>
    <t>451c824d-99cb-4418-a3fe-76818ec0dd12</t>
  </si>
  <si>
    <t>0bb7eabf-186c-42dc-a2ff-e8dd47f59a86</t>
  </si>
  <si>
    <t>dc267d6c-d19a-4532-92da-9e258f3e3373</t>
  </si>
  <si>
    <t>72d703c1-19bc-427a-8a7f-945bb2d28d9d</t>
  </si>
  <si>
    <t>fb6b402c-56ed-4452-86e6-e470a61c214d</t>
  </si>
  <si>
    <t>1f2c0dec-010f-4fb7-96b1-58b8c182dcd3</t>
  </si>
  <si>
    <t>708cfa02-415b-4e3a-984a-958b8d67b6df</t>
  </si>
  <si>
    <t>6b3d177e-ee02-40b8-930b-246078db7032</t>
  </si>
  <si>
    <t>3b36a0dd-ffc3-4717-91f4-7a0b185079ee</t>
  </si>
  <si>
    <t>ec2f8b53-633f-4aca-804d-ea065ab6bc11</t>
  </si>
  <si>
    <t>0e2ff43d-146f-4961-90b8-0c282bc3f46e</t>
  </si>
  <si>
    <t>87be8616-e4d8-438d-8731-6a07481ee6fc</t>
  </si>
  <si>
    <t>4803e6c7-1195-41d1-827c-40ddc79852c1</t>
  </si>
  <si>
    <t>539f3613-7016-4761-ba93-05cfbf04edbc</t>
  </si>
  <si>
    <t>69dcaf53-046e-44ab-84be-e01a92b7257f</t>
  </si>
  <si>
    <t>f3275d19-a1dc-40ae-ab1a-ca537c02d33d</t>
  </si>
  <si>
    <t>e8f6defd-f4e3-4fa5-a52c-bb223410c669</t>
  </si>
  <si>
    <t>2314eee7-d555-47c4-a3fc-8fd92708b677</t>
  </si>
  <si>
    <t>2a90286f-e308-460f-8e2c-8d072e2c4ca2</t>
  </si>
  <si>
    <t>edee26c6-7bef-413a-9afe-3cb5fd14b10f</t>
  </si>
  <si>
    <t>9eb0ed2c-ec42-4dcb-9e25-0d366088aa7e</t>
  </si>
  <si>
    <t>8679ea58-d819-48ca-9e59-47f5f4a6d1fa</t>
  </si>
  <si>
    <t>7b24ede3-6623-48ca-b785-a41de2ef4a89</t>
  </si>
  <si>
    <t>0faadff4-1fdc-4e6d-b064-fa91d8156a78</t>
  </si>
  <si>
    <t>0dc9032b-e942-4907-9283-ddefbee9b147</t>
  </si>
  <si>
    <t>cdd00d34-2f91-48e1-9a82-d089cb543c74</t>
  </si>
  <si>
    <t>3fb67c0c-024c-4446-8363-ecca98637c12</t>
  </si>
  <si>
    <t>ff94fd0c-440e-47f6-b0c6-b8bfdbfef95b</t>
  </si>
  <si>
    <t>4b4469b3-569a-432a-bab4-683eca698dc2</t>
  </si>
  <si>
    <t>fc37c406-6b17-4ba9-99c7-7bd6ff5c7b50</t>
  </si>
  <si>
    <t>c4ef80fc-a06f-4397-b70a-9f5ebcb9b2d4</t>
  </si>
  <si>
    <t>14f5d83b-28f8-4c71-a986-7a64d15b1390</t>
  </si>
  <si>
    <t>53b6d18e-8da3-4c22-a67c-632b8bfee68a</t>
  </si>
  <si>
    <t>cf2adf70-402c-458f-82f8-c795d9f21487</t>
  </si>
  <si>
    <t>143e92a4-8576-4778-9264-38aef1f26c81</t>
  </si>
  <si>
    <t>0a51470b-02cf-49a4-bece-0444985af01b</t>
  </si>
  <si>
    <t>f7a50e3d-37c8-46cf-b60a-639704804bc8</t>
  </si>
  <si>
    <t>6f15e3ba-d7de-4f8e-9c31-090f5c18a5b4</t>
  </si>
  <si>
    <t>60738d7e-f8c2-4eda-bd2f-ef3cae7496bf</t>
  </si>
  <si>
    <t>386559d2-88c4-49dc-9d2f-9c3d4f694030</t>
  </si>
  <si>
    <t>1de3e30e-ddb4-4aae-af38-017f318e67b4</t>
  </si>
  <si>
    <t>b71fcc81-959a-4725-9a87-f5cc5e2b0f55</t>
  </si>
  <si>
    <t>68bc6911-5da5-4597-9945-7a07ecf9fd9d</t>
  </si>
  <si>
    <t>be2bf669-02dd-41ee-8f41-059fcdad7c87</t>
  </si>
  <si>
    <t>5c05278a-de27-4e29-a463-554ddbef6f63</t>
  </si>
  <si>
    <t>25a3c5a7-6408-4cb8-afa5-4b8ae80f1419</t>
  </si>
  <si>
    <t>8129dff8-ef44-4759-b2ab-35295f140e32</t>
  </si>
  <si>
    <t>452c9780-0172-4dcd-ae60-5afeb98d9d6a</t>
  </si>
  <si>
    <t>704ec9f9-241e-4272-a4f4-fb43fc2ee8eb</t>
  </si>
  <si>
    <t>545098c7-586c-4b9c-bc70-9eccfe2d0f0b</t>
  </si>
  <si>
    <t>Month</t>
  </si>
  <si>
    <t>Year</t>
  </si>
  <si>
    <t>Day</t>
  </si>
  <si>
    <t>Customer_Type</t>
  </si>
  <si>
    <t>Customer_Category</t>
  </si>
  <si>
    <t>New Customer</t>
  </si>
  <si>
    <t>Returning Customer</t>
  </si>
  <si>
    <t xml:space="preserve">sum of revenue </t>
  </si>
  <si>
    <t>sum of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</si>
</sst>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"/>
  </numFmts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44" fontId="0" fillId="0" borderId="0" xfId="0" applyNumberFormat="1" applyFont="1" applyAlignment="1"/>
    <xf numFmtId="0" fontId="0" fillId="0" borderId="1" xfId="0" applyFont="1" applyBorder="1"/>
    <xf numFmtId="0" fontId="2" fillId="2" borderId="2" xfId="0" applyFont="1" applyFill="1" applyBorder="1" applyAlignment="1">
      <alignment horizontal="center" vertical="top"/>
    </xf>
    <xf numFmtId="44" fontId="2" fillId="2" borderId="2" xfId="0" applyNumberFormat="1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164" fontId="1" fillId="3" borderId="5" xfId="0" applyNumberFormat="1" applyFont="1" applyFill="1" applyBorder="1"/>
    <xf numFmtId="0" fontId="0" fillId="3" borderId="5" xfId="0" applyFont="1" applyFill="1" applyBorder="1"/>
    <xf numFmtId="44" fontId="0" fillId="3" borderId="5" xfId="0" applyNumberFormat="1" applyFont="1" applyFill="1" applyBorder="1"/>
    <xf numFmtId="0" fontId="0" fillId="3" borderId="5" xfId="0" applyFont="1" applyFill="1" applyBorder="1" applyAlignment="1"/>
    <xf numFmtId="0" fontId="0" fillId="3" borderId="6" xfId="0" applyFont="1" applyFill="1" applyBorder="1" applyAlignment="1"/>
    <xf numFmtId="0" fontId="0" fillId="3" borderId="6" xfId="0" applyFont="1" applyFill="1" applyBorder="1"/>
    <xf numFmtId="0" fontId="0" fillId="3" borderId="7" xfId="0" applyFont="1" applyFill="1" applyBorder="1"/>
    <xf numFmtId="164" fontId="1" fillId="0" borderId="5" xfId="0" applyNumberFormat="1" applyFont="1" applyBorder="1"/>
    <xf numFmtId="0" fontId="0" fillId="0" borderId="5" xfId="0" applyFont="1" applyBorder="1"/>
    <xf numFmtId="44" fontId="0" fillId="0" borderId="5" xfId="0" applyNumberFormat="1" applyFont="1" applyBorder="1"/>
    <xf numFmtId="0" fontId="0" fillId="0" borderId="5" xfId="0" applyFont="1" applyBorder="1" applyAlignment="1"/>
    <xf numFmtId="0" fontId="0" fillId="0" borderId="6" xfId="0" applyFont="1" applyBorder="1"/>
    <xf numFmtId="0" fontId="0" fillId="0" borderId="7" xfId="0" applyFont="1" applyBorder="1"/>
    <xf numFmtId="164" fontId="1" fillId="0" borderId="8" xfId="0" applyNumberFormat="1" applyFont="1" applyBorder="1"/>
    <xf numFmtId="0" fontId="0" fillId="0" borderId="8" xfId="0" applyFont="1" applyBorder="1"/>
    <xf numFmtId="44" fontId="0" fillId="0" borderId="8" xfId="0" applyNumberFormat="1" applyFont="1" applyBorder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tabSelected="1" topLeftCell="B1" workbookViewId="0">
      <selection activeCell="B1" sqref="A1:XFD1"/>
    </sheetView>
  </sheetViews>
  <sheetFormatPr defaultColWidth="8.5546875" defaultRowHeight="15" customHeight="1" x14ac:dyDescent="0.3"/>
  <cols>
    <col min="1" max="1" width="10.33203125" bestFit="1" customWidth="1"/>
    <col min="2" max="2" width="36.33203125" bestFit="1" customWidth="1"/>
    <col min="3" max="3" width="10.44140625" bestFit="1" customWidth="1"/>
    <col min="4" max="4" width="14" customWidth="1"/>
    <col min="5" max="5" width="14.77734375" style="1" customWidth="1"/>
    <col min="6" max="6" width="13.77734375" customWidth="1"/>
    <col min="7" max="7" width="15.33203125" customWidth="1"/>
    <col min="8" max="8" width="8.6640625" customWidth="1"/>
    <col min="11" max="11" width="18.77734375" bestFit="1" customWidth="1"/>
    <col min="12" max="12" width="22.33203125" bestFit="1" customWidth="1"/>
    <col min="14" max="14" width="16.33203125" bestFit="1" customWidth="1"/>
    <col min="15" max="15" width="11.109375" bestFit="1" customWidth="1"/>
  </cols>
  <sheetData>
    <row r="1" spans="1:15" ht="13.8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 t="s">
        <v>2017</v>
      </c>
      <c r="I1" s="5" t="s">
        <v>2018</v>
      </c>
      <c r="J1" s="5" t="s">
        <v>2019</v>
      </c>
      <c r="K1" s="5" t="s">
        <v>2020</v>
      </c>
      <c r="L1" s="6" t="s">
        <v>2021</v>
      </c>
    </row>
    <row r="2" spans="1:15" ht="14.4" x14ac:dyDescent="0.3">
      <c r="A2" s="7">
        <v>45523</v>
      </c>
      <c r="B2" s="8" t="s">
        <v>440</v>
      </c>
      <c r="C2" s="8" t="s">
        <v>13</v>
      </c>
      <c r="D2" s="8" t="s">
        <v>9</v>
      </c>
      <c r="E2" s="9">
        <v>5.12</v>
      </c>
      <c r="F2" s="8" t="s">
        <v>10</v>
      </c>
      <c r="G2" s="8">
        <v>5.12</v>
      </c>
      <c r="H2" s="10">
        <f t="shared" ref="H2:H65" si="0">MONTH(A2)</f>
        <v>8</v>
      </c>
      <c r="I2" s="10">
        <f>YEAR(Sheet1!$A2)</f>
        <v>2024</v>
      </c>
      <c r="J2" s="11">
        <f>DAY(Sheet1!$A2)</f>
        <v>19</v>
      </c>
      <c r="K2" s="12" t="s">
        <v>2022</v>
      </c>
      <c r="L2" s="13" t="str">
        <f t="shared" ref="L2:L65" si="1">IF(G2&gt;50,"Premium Customer","Regular Customer")</f>
        <v>Regular Customer</v>
      </c>
    </row>
    <row r="3" spans="1:15" ht="14.4" x14ac:dyDescent="0.3">
      <c r="A3" s="14">
        <v>45683</v>
      </c>
      <c r="B3" s="15" t="s">
        <v>1209</v>
      </c>
      <c r="C3" s="15" t="s">
        <v>13</v>
      </c>
      <c r="D3" s="15" t="s">
        <v>16</v>
      </c>
      <c r="E3" s="16">
        <v>5.12</v>
      </c>
      <c r="F3" s="15" t="s">
        <v>11</v>
      </c>
      <c r="G3" s="15">
        <v>5.12</v>
      </c>
      <c r="H3" s="17">
        <f t="shared" si="0"/>
        <v>1</v>
      </c>
      <c r="I3" s="17">
        <f>YEAR(Sheet1!$A3)</f>
        <v>2025</v>
      </c>
      <c r="J3" s="17">
        <f>DAY(Sheet1!$A3)</f>
        <v>26</v>
      </c>
      <c r="K3" s="18" t="s">
        <v>2023</v>
      </c>
      <c r="L3" s="19" t="str">
        <f t="shared" si="1"/>
        <v>Regular Customer</v>
      </c>
    </row>
    <row r="4" spans="1:15" ht="14.4" x14ac:dyDescent="0.3">
      <c r="A4" s="7">
        <v>45578</v>
      </c>
      <c r="B4" s="8" t="s">
        <v>831</v>
      </c>
      <c r="C4" s="8" t="s">
        <v>8</v>
      </c>
      <c r="D4" s="8" t="s">
        <v>19</v>
      </c>
      <c r="E4" s="9">
        <v>5.19</v>
      </c>
      <c r="F4" s="8" t="s">
        <v>10</v>
      </c>
      <c r="G4" s="8">
        <v>5.19</v>
      </c>
      <c r="H4" s="10">
        <f t="shared" si="0"/>
        <v>10</v>
      </c>
      <c r="I4" s="10">
        <f>YEAR(Sheet1!$A4)</f>
        <v>2024</v>
      </c>
      <c r="J4" s="10">
        <f>DAY(Sheet1!$A4)</f>
        <v>13</v>
      </c>
      <c r="K4" s="12" t="s">
        <v>2023</v>
      </c>
      <c r="L4" s="13" t="str">
        <f t="shared" si="1"/>
        <v>Regular Customer</v>
      </c>
    </row>
    <row r="5" spans="1:15" ht="14.4" x14ac:dyDescent="0.3">
      <c r="A5" s="14">
        <v>45528</v>
      </c>
      <c r="B5" s="15" t="s">
        <v>1146</v>
      </c>
      <c r="C5" s="15" t="s">
        <v>24</v>
      </c>
      <c r="D5" s="15" t="s">
        <v>16</v>
      </c>
      <c r="E5" s="16">
        <v>5.2</v>
      </c>
      <c r="F5" s="15" t="s">
        <v>10</v>
      </c>
      <c r="G5" s="15">
        <v>5.2</v>
      </c>
      <c r="H5" s="17">
        <f t="shared" si="0"/>
        <v>8</v>
      </c>
      <c r="I5" s="17">
        <f>YEAR(Sheet1!$A5)</f>
        <v>2024</v>
      </c>
      <c r="J5" s="17">
        <f>DAY(Sheet1!$A5)</f>
        <v>24</v>
      </c>
      <c r="K5" s="18" t="s">
        <v>2022</v>
      </c>
      <c r="L5" s="19" t="str">
        <f t="shared" si="1"/>
        <v>Regular Customer</v>
      </c>
    </row>
    <row r="6" spans="1:15" ht="14.4" x14ac:dyDescent="0.3">
      <c r="A6" s="7">
        <v>45603</v>
      </c>
      <c r="B6" s="8" t="s">
        <v>981</v>
      </c>
      <c r="C6" s="8" t="s">
        <v>18</v>
      </c>
      <c r="D6" s="8" t="s">
        <v>16</v>
      </c>
      <c r="E6" s="9">
        <v>5.21</v>
      </c>
      <c r="F6" s="8" t="s">
        <v>11</v>
      </c>
      <c r="G6" s="8">
        <v>5.21</v>
      </c>
      <c r="H6" s="10">
        <f t="shared" si="0"/>
        <v>11</v>
      </c>
      <c r="I6" s="10">
        <f>YEAR(Sheet1!$A6)</f>
        <v>2024</v>
      </c>
      <c r="J6" s="10">
        <f>DAY(Sheet1!$A6)</f>
        <v>7</v>
      </c>
      <c r="K6" s="12" t="s">
        <v>2022</v>
      </c>
      <c r="L6" s="13" t="str">
        <f t="shared" si="1"/>
        <v>Regular Customer</v>
      </c>
    </row>
    <row r="7" spans="1:15" ht="14.4" x14ac:dyDescent="0.3">
      <c r="A7" s="14">
        <v>45426</v>
      </c>
      <c r="B7" s="15" t="s">
        <v>291</v>
      </c>
      <c r="C7" s="15" t="s">
        <v>13</v>
      </c>
      <c r="D7" s="15" t="s">
        <v>9</v>
      </c>
      <c r="E7" s="16">
        <v>5.25</v>
      </c>
      <c r="F7" s="15" t="s">
        <v>11</v>
      </c>
      <c r="G7" s="15">
        <v>5.25</v>
      </c>
      <c r="H7" s="17">
        <f t="shared" si="0"/>
        <v>5</v>
      </c>
      <c r="I7" s="17">
        <f>YEAR(Sheet1!$A7)</f>
        <v>2024</v>
      </c>
      <c r="J7" s="17">
        <f>DAY(Sheet1!$A7)</f>
        <v>14</v>
      </c>
      <c r="K7" s="18" t="s">
        <v>2022</v>
      </c>
      <c r="L7" s="19" t="str">
        <f t="shared" si="1"/>
        <v>Regular Customer</v>
      </c>
    </row>
    <row r="8" spans="1:15" ht="14.4" x14ac:dyDescent="0.3">
      <c r="A8" s="7">
        <v>45548</v>
      </c>
      <c r="B8" s="8" t="s">
        <v>1824</v>
      </c>
      <c r="C8" s="8" t="s">
        <v>8</v>
      </c>
      <c r="D8" s="8" t="s">
        <v>16</v>
      </c>
      <c r="E8" s="9">
        <v>5.25</v>
      </c>
      <c r="F8" s="8" t="s">
        <v>10</v>
      </c>
      <c r="G8" s="8">
        <v>5.25</v>
      </c>
      <c r="H8" s="10">
        <f t="shared" si="0"/>
        <v>9</v>
      </c>
      <c r="I8" s="10">
        <f>YEAR(Sheet1!$A8)</f>
        <v>2024</v>
      </c>
      <c r="J8" s="10">
        <f>DAY(Sheet1!$A8)</f>
        <v>13</v>
      </c>
      <c r="K8" s="12" t="s">
        <v>2022</v>
      </c>
      <c r="L8" s="13" t="str">
        <f t="shared" si="1"/>
        <v>Regular Customer</v>
      </c>
      <c r="N8" t="s">
        <v>2024</v>
      </c>
      <c r="O8" s="1">
        <v>71797.539999999994</v>
      </c>
    </row>
    <row r="9" spans="1:15" ht="14.4" x14ac:dyDescent="0.3">
      <c r="A9" s="14">
        <v>45512</v>
      </c>
      <c r="B9" s="15" t="s">
        <v>267</v>
      </c>
      <c r="C9" s="15" t="s">
        <v>18</v>
      </c>
      <c r="D9" s="15" t="s">
        <v>9</v>
      </c>
      <c r="E9" s="16">
        <v>5.39</v>
      </c>
      <c r="F9" s="15" t="s">
        <v>11</v>
      </c>
      <c r="G9" s="15">
        <v>5.39</v>
      </c>
      <c r="H9" s="17">
        <f t="shared" si="0"/>
        <v>8</v>
      </c>
      <c r="I9" s="17">
        <f>YEAR(Sheet1!$A9)</f>
        <v>2024</v>
      </c>
      <c r="J9" s="17">
        <f>DAY(Sheet1!$A9)</f>
        <v>8</v>
      </c>
      <c r="K9" s="18" t="s">
        <v>2022</v>
      </c>
      <c r="L9" s="19" t="str">
        <f t="shared" si="1"/>
        <v>Regular Customer</v>
      </c>
      <c r="N9" t="s">
        <v>2025</v>
      </c>
      <c r="O9" s="1">
        <v>35368.840000000026</v>
      </c>
    </row>
    <row r="10" spans="1:15" ht="14.4" x14ac:dyDescent="0.3">
      <c r="A10" s="7">
        <v>45514</v>
      </c>
      <c r="B10" s="8" t="s">
        <v>1521</v>
      </c>
      <c r="C10" s="8" t="s">
        <v>13</v>
      </c>
      <c r="D10" s="8" t="s">
        <v>19</v>
      </c>
      <c r="E10" s="9">
        <v>5.43</v>
      </c>
      <c r="F10" s="8" t="s">
        <v>10</v>
      </c>
      <c r="G10" s="8">
        <v>5.43</v>
      </c>
      <c r="H10" s="10">
        <f t="shared" si="0"/>
        <v>8</v>
      </c>
      <c r="I10" s="10">
        <f>YEAR(Sheet1!$A10)</f>
        <v>2024</v>
      </c>
      <c r="J10" s="10">
        <f>DAY(Sheet1!$A10)</f>
        <v>10</v>
      </c>
      <c r="K10" s="12" t="s">
        <v>2023</v>
      </c>
      <c r="L10" s="13" t="str">
        <f t="shared" si="1"/>
        <v>Regular Customer</v>
      </c>
    </row>
    <row r="11" spans="1:15" ht="14.4" x14ac:dyDescent="0.3">
      <c r="A11" s="14">
        <v>45420</v>
      </c>
      <c r="B11" s="15" t="s">
        <v>533</v>
      </c>
      <c r="C11" s="15" t="s">
        <v>18</v>
      </c>
      <c r="D11" s="15" t="s">
        <v>14</v>
      </c>
      <c r="E11" s="16">
        <v>5.51</v>
      </c>
      <c r="F11" s="15" t="s">
        <v>11</v>
      </c>
      <c r="G11" s="15">
        <v>5.51</v>
      </c>
      <c r="H11" s="17">
        <f t="shared" si="0"/>
        <v>5</v>
      </c>
      <c r="I11" s="17">
        <f>YEAR(Sheet1!$A11)</f>
        <v>2024</v>
      </c>
      <c r="J11" s="17">
        <f>DAY(Sheet1!$A11)</f>
        <v>8</v>
      </c>
      <c r="K11" s="18" t="s">
        <v>2023</v>
      </c>
      <c r="L11" s="19" t="str">
        <f t="shared" si="1"/>
        <v>Regular Customer</v>
      </c>
    </row>
    <row r="12" spans="1:15" ht="14.4" x14ac:dyDescent="0.3">
      <c r="A12" s="7">
        <v>45744</v>
      </c>
      <c r="B12" s="8" t="s">
        <v>543</v>
      </c>
      <c r="C12" s="8" t="s">
        <v>18</v>
      </c>
      <c r="D12" s="8" t="s">
        <v>19</v>
      </c>
      <c r="E12" s="9">
        <v>5.55</v>
      </c>
      <c r="F12" s="8" t="s">
        <v>10</v>
      </c>
      <c r="G12" s="8">
        <v>5.55</v>
      </c>
      <c r="H12" s="10">
        <f t="shared" si="0"/>
        <v>3</v>
      </c>
      <c r="I12" s="10">
        <f>YEAR(Sheet1!$A12)</f>
        <v>2025</v>
      </c>
      <c r="J12" s="10">
        <f>DAY(Sheet1!$A12)</f>
        <v>28</v>
      </c>
      <c r="K12" s="12" t="s">
        <v>2023</v>
      </c>
      <c r="L12" s="13" t="str">
        <f t="shared" si="1"/>
        <v>Regular Customer</v>
      </c>
    </row>
    <row r="13" spans="1:15" ht="14.4" x14ac:dyDescent="0.3">
      <c r="A13" s="14">
        <v>45476</v>
      </c>
      <c r="B13" s="15" t="s">
        <v>1529</v>
      </c>
      <c r="C13" s="15" t="s">
        <v>13</v>
      </c>
      <c r="D13" s="15" t="s">
        <v>19</v>
      </c>
      <c r="E13" s="16">
        <v>5.56</v>
      </c>
      <c r="F13" s="15" t="s">
        <v>10</v>
      </c>
      <c r="G13" s="15">
        <v>5.56</v>
      </c>
      <c r="H13" s="17">
        <f t="shared" si="0"/>
        <v>7</v>
      </c>
      <c r="I13" s="17">
        <f>YEAR(Sheet1!$A13)</f>
        <v>2024</v>
      </c>
      <c r="J13" s="17">
        <f>DAY(Sheet1!$A13)</f>
        <v>3</v>
      </c>
      <c r="K13" s="18" t="s">
        <v>2023</v>
      </c>
      <c r="L13" s="19" t="str">
        <f t="shared" si="1"/>
        <v>Regular Customer</v>
      </c>
    </row>
    <row r="14" spans="1:15" ht="14.4" x14ac:dyDescent="0.3">
      <c r="A14" s="7">
        <v>45673</v>
      </c>
      <c r="B14" s="8" t="s">
        <v>284</v>
      </c>
      <c r="C14" s="8" t="s">
        <v>24</v>
      </c>
      <c r="D14" s="8" t="s">
        <v>9</v>
      </c>
      <c r="E14" s="9">
        <v>5.59</v>
      </c>
      <c r="F14" s="8" t="s">
        <v>10</v>
      </c>
      <c r="G14" s="8">
        <v>5.59</v>
      </c>
      <c r="H14" s="10">
        <f t="shared" si="0"/>
        <v>1</v>
      </c>
      <c r="I14" s="10">
        <f>YEAR(Sheet1!$A14)</f>
        <v>2025</v>
      </c>
      <c r="J14" s="10">
        <f>DAY(Sheet1!$A14)</f>
        <v>16</v>
      </c>
      <c r="K14" s="12" t="s">
        <v>2023</v>
      </c>
      <c r="L14" s="13" t="str">
        <f t="shared" si="1"/>
        <v>Regular Customer</v>
      </c>
    </row>
    <row r="15" spans="1:15" ht="14.4" x14ac:dyDescent="0.3">
      <c r="A15" s="14">
        <v>45617</v>
      </c>
      <c r="B15" s="15" t="s">
        <v>909</v>
      </c>
      <c r="C15" s="15" t="s">
        <v>13</v>
      </c>
      <c r="D15" s="15" t="s">
        <v>14</v>
      </c>
      <c r="E15" s="16">
        <v>5.67</v>
      </c>
      <c r="F15" s="15" t="s">
        <v>10</v>
      </c>
      <c r="G15" s="15">
        <v>5.67</v>
      </c>
      <c r="H15" s="17">
        <f t="shared" si="0"/>
        <v>11</v>
      </c>
      <c r="I15" s="17">
        <f>YEAR(Sheet1!$A15)</f>
        <v>2024</v>
      </c>
      <c r="J15" s="17">
        <f>DAY(Sheet1!$A15)</f>
        <v>21</v>
      </c>
      <c r="K15" s="18" t="s">
        <v>2022</v>
      </c>
      <c r="L15" s="19" t="str">
        <f t="shared" si="1"/>
        <v>Regular Customer</v>
      </c>
    </row>
    <row r="16" spans="1:15" ht="14.4" x14ac:dyDescent="0.3">
      <c r="A16" s="7">
        <v>45613</v>
      </c>
      <c r="B16" s="8" t="s">
        <v>121</v>
      </c>
      <c r="C16" s="8" t="s">
        <v>8</v>
      </c>
      <c r="D16" s="8" t="s">
        <v>16</v>
      </c>
      <c r="E16" s="9">
        <v>5.74</v>
      </c>
      <c r="F16" s="8" t="s">
        <v>11</v>
      </c>
      <c r="G16" s="8">
        <v>5.74</v>
      </c>
      <c r="H16" s="10">
        <f t="shared" si="0"/>
        <v>11</v>
      </c>
      <c r="I16" s="10">
        <f>YEAR(Sheet1!$A16)</f>
        <v>2024</v>
      </c>
      <c r="J16" s="10">
        <f>DAY(Sheet1!$A16)</f>
        <v>17</v>
      </c>
      <c r="K16" s="12" t="s">
        <v>2022</v>
      </c>
      <c r="L16" s="13" t="str">
        <f t="shared" si="1"/>
        <v>Regular Customer</v>
      </c>
    </row>
    <row r="17" spans="1:12" ht="14.4" x14ac:dyDescent="0.3">
      <c r="A17" s="14">
        <v>45662</v>
      </c>
      <c r="B17" s="15" t="s">
        <v>1377</v>
      </c>
      <c r="C17" s="15" t="s">
        <v>13</v>
      </c>
      <c r="D17" s="15" t="s">
        <v>19</v>
      </c>
      <c r="E17" s="16">
        <v>5.82</v>
      </c>
      <c r="F17" s="15" t="s">
        <v>10</v>
      </c>
      <c r="G17" s="15">
        <v>5.82</v>
      </c>
      <c r="H17" s="17">
        <f t="shared" si="0"/>
        <v>1</v>
      </c>
      <c r="I17" s="17">
        <f>YEAR(Sheet1!$A17)</f>
        <v>2025</v>
      </c>
      <c r="J17" s="17">
        <f>DAY(Sheet1!$A17)</f>
        <v>5</v>
      </c>
      <c r="K17" s="18" t="s">
        <v>2022</v>
      </c>
      <c r="L17" s="19" t="str">
        <f t="shared" si="1"/>
        <v>Regular Customer</v>
      </c>
    </row>
    <row r="18" spans="1:12" ht="14.4" x14ac:dyDescent="0.3">
      <c r="A18" s="7">
        <v>45491</v>
      </c>
      <c r="B18" s="8" t="s">
        <v>1375</v>
      </c>
      <c r="C18" s="8" t="s">
        <v>18</v>
      </c>
      <c r="D18" s="8" t="s">
        <v>14</v>
      </c>
      <c r="E18" s="9">
        <v>5.83</v>
      </c>
      <c r="F18" s="8" t="s">
        <v>10</v>
      </c>
      <c r="G18" s="8">
        <v>5.83</v>
      </c>
      <c r="H18" s="10">
        <f t="shared" si="0"/>
        <v>7</v>
      </c>
      <c r="I18" s="10">
        <f>YEAR(Sheet1!$A18)</f>
        <v>2024</v>
      </c>
      <c r="J18" s="10">
        <f>DAY(Sheet1!$A18)</f>
        <v>18</v>
      </c>
      <c r="K18" s="12" t="s">
        <v>2023</v>
      </c>
      <c r="L18" s="13" t="str">
        <f t="shared" si="1"/>
        <v>Regular Customer</v>
      </c>
    </row>
    <row r="19" spans="1:12" ht="14.4" x14ac:dyDescent="0.3">
      <c r="A19" s="14">
        <v>45657</v>
      </c>
      <c r="B19" s="15" t="s">
        <v>847</v>
      </c>
      <c r="C19" s="15" t="s">
        <v>24</v>
      </c>
      <c r="D19" s="15" t="s">
        <v>14</v>
      </c>
      <c r="E19" s="16">
        <v>5.84</v>
      </c>
      <c r="F19" s="15" t="s">
        <v>11</v>
      </c>
      <c r="G19" s="15">
        <v>5.84</v>
      </c>
      <c r="H19" s="17">
        <f t="shared" si="0"/>
        <v>12</v>
      </c>
      <c r="I19" s="17">
        <f>YEAR(Sheet1!$A19)</f>
        <v>2024</v>
      </c>
      <c r="J19" s="17">
        <f>DAY(Sheet1!$A19)</f>
        <v>31</v>
      </c>
      <c r="K19" s="18" t="s">
        <v>2023</v>
      </c>
      <c r="L19" s="19" t="str">
        <f t="shared" si="1"/>
        <v>Regular Customer</v>
      </c>
    </row>
    <row r="20" spans="1:12" ht="14.4" x14ac:dyDescent="0.3">
      <c r="A20" s="7">
        <v>45754</v>
      </c>
      <c r="B20" s="8" t="s">
        <v>1594</v>
      </c>
      <c r="C20" s="8" t="s">
        <v>24</v>
      </c>
      <c r="D20" s="8" t="s">
        <v>14</v>
      </c>
      <c r="E20" s="9">
        <v>5.86</v>
      </c>
      <c r="F20" s="8" t="s">
        <v>10</v>
      </c>
      <c r="G20" s="8">
        <v>5.86</v>
      </c>
      <c r="H20" s="10">
        <f t="shared" si="0"/>
        <v>4</v>
      </c>
      <c r="I20" s="10">
        <f>YEAR(Sheet1!$A20)</f>
        <v>2025</v>
      </c>
      <c r="J20" s="10">
        <f>DAY(Sheet1!$A20)</f>
        <v>7</v>
      </c>
      <c r="K20" s="12" t="s">
        <v>2022</v>
      </c>
      <c r="L20" s="13" t="str">
        <f t="shared" si="1"/>
        <v>Regular Customer</v>
      </c>
    </row>
    <row r="21" spans="1:12" ht="15.75" customHeight="1" x14ac:dyDescent="0.3">
      <c r="A21" s="14">
        <v>45616</v>
      </c>
      <c r="B21" s="15" t="s">
        <v>266</v>
      </c>
      <c r="C21" s="15" t="s">
        <v>8</v>
      </c>
      <c r="D21" s="15" t="s">
        <v>19</v>
      </c>
      <c r="E21" s="16">
        <v>5.92</v>
      </c>
      <c r="F21" s="15" t="s">
        <v>11</v>
      </c>
      <c r="G21" s="15">
        <v>5.92</v>
      </c>
      <c r="H21" s="17">
        <f t="shared" si="0"/>
        <v>11</v>
      </c>
      <c r="I21" s="17">
        <f>YEAR(Sheet1!$A21)</f>
        <v>2024</v>
      </c>
      <c r="J21" s="17">
        <f>DAY(Sheet1!$A21)</f>
        <v>20</v>
      </c>
      <c r="K21" s="18" t="s">
        <v>2022</v>
      </c>
      <c r="L21" s="19" t="str">
        <f t="shared" si="1"/>
        <v>Regular Customer</v>
      </c>
    </row>
    <row r="22" spans="1:12" ht="15.75" customHeight="1" x14ac:dyDescent="0.3">
      <c r="A22" s="7">
        <v>45646</v>
      </c>
      <c r="B22" s="8" t="s">
        <v>823</v>
      </c>
      <c r="C22" s="8" t="s">
        <v>18</v>
      </c>
      <c r="D22" s="8" t="s">
        <v>16</v>
      </c>
      <c r="E22" s="9">
        <v>6</v>
      </c>
      <c r="F22" s="8" t="s">
        <v>10</v>
      </c>
      <c r="G22" s="8">
        <v>6</v>
      </c>
      <c r="H22" s="10">
        <f t="shared" si="0"/>
        <v>12</v>
      </c>
      <c r="I22" s="10">
        <f>YEAR(Sheet1!$A22)</f>
        <v>2024</v>
      </c>
      <c r="J22" s="10">
        <f>DAY(Sheet1!$A22)</f>
        <v>20</v>
      </c>
      <c r="K22" s="12" t="s">
        <v>2022</v>
      </c>
      <c r="L22" s="13" t="str">
        <f t="shared" si="1"/>
        <v>Regular Customer</v>
      </c>
    </row>
    <row r="23" spans="1:12" ht="15.75" customHeight="1" x14ac:dyDescent="0.3">
      <c r="A23" s="14">
        <v>45684</v>
      </c>
      <c r="B23" s="15" t="s">
        <v>97</v>
      </c>
      <c r="C23" s="15" t="s">
        <v>8</v>
      </c>
      <c r="D23" s="15" t="s">
        <v>19</v>
      </c>
      <c r="E23" s="16">
        <v>6.02</v>
      </c>
      <c r="F23" s="15" t="s">
        <v>10</v>
      </c>
      <c r="G23" s="15">
        <v>6.02</v>
      </c>
      <c r="H23" s="17">
        <f t="shared" si="0"/>
        <v>1</v>
      </c>
      <c r="I23" s="17">
        <f>YEAR(Sheet1!$A23)</f>
        <v>2025</v>
      </c>
      <c r="J23" s="17">
        <f>DAY(Sheet1!$A23)</f>
        <v>27</v>
      </c>
      <c r="K23" s="18" t="s">
        <v>2022</v>
      </c>
      <c r="L23" s="19" t="str">
        <f t="shared" si="1"/>
        <v>Regular Customer</v>
      </c>
    </row>
    <row r="24" spans="1:12" ht="15.75" customHeight="1" x14ac:dyDescent="0.3">
      <c r="A24" s="7">
        <v>45605</v>
      </c>
      <c r="B24" s="8" t="s">
        <v>792</v>
      </c>
      <c r="C24" s="8" t="s">
        <v>13</v>
      </c>
      <c r="D24" s="8" t="s">
        <v>9</v>
      </c>
      <c r="E24" s="9">
        <v>6.05</v>
      </c>
      <c r="F24" s="8" t="s">
        <v>11</v>
      </c>
      <c r="G24" s="8">
        <v>6.05</v>
      </c>
      <c r="H24" s="10">
        <f t="shared" si="0"/>
        <v>11</v>
      </c>
      <c r="I24" s="10">
        <f>YEAR(Sheet1!$A24)</f>
        <v>2024</v>
      </c>
      <c r="J24" s="10">
        <f>DAY(Sheet1!$A24)</f>
        <v>9</v>
      </c>
      <c r="K24" s="12" t="s">
        <v>2023</v>
      </c>
      <c r="L24" s="13" t="str">
        <f t="shared" si="1"/>
        <v>Regular Customer</v>
      </c>
    </row>
    <row r="25" spans="1:12" ht="15.75" customHeight="1" x14ac:dyDescent="0.3">
      <c r="A25" s="14">
        <v>45590</v>
      </c>
      <c r="B25" s="15" t="s">
        <v>1366</v>
      </c>
      <c r="C25" s="15" t="s">
        <v>24</v>
      </c>
      <c r="D25" s="15" t="s">
        <v>14</v>
      </c>
      <c r="E25" s="16">
        <v>6.07</v>
      </c>
      <c r="F25" s="15" t="s">
        <v>11</v>
      </c>
      <c r="G25" s="15">
        <v>6.07</v>
      </c>
      <c r="H25" s="17">
        <f t="shared" si="0"/>
        <v>10</v>
      </c>
      <c r="I25" s="17">
        <f>YEAR(Sheet1!$A25)</f>
        <v>2024</v>
      </c>
      <c r="J25" s="17">
        <f>DAY(Sheet1!$A25)</f>
        <v>25</v>
      </c>
      <c r="K25" s="18" t="s">
        <v>2023</v>
      </c>
      <c r="L25" s="19" t="str">
        <f t="shared" si="1"/>
        <v>Regular Customer</v>
      </c>
    </row>
    <row r="26" spans="1:12" ht="15.75" customHeight="1" x14ac:dyDescent="0.3">
      <c r="A26" s="7">
        <v>45775</v>
      </c>
      <c r="B26" s="8" t="s">
        <v>1742</v>
      </c>
      <c r="C26" s="8" t="s">
        <v>24</v>
      </c>
      <c r="D26" s="8" t="s">
        <v>19</v>
      </c>
      <c r="E26" s="9">
        <v>6.11</v>
      </c>
      <c r="F26" s="8" t="s">
        <v>10</v>
      </c>
      <c r="G26" s="8">
        <v>6.11</v>
      </c>
      <c r="H26" s="10">
        <f t="shared" si="0"/>
        <v>4</v>
      </c>
      <c r="I26" s="10">
        <f>YEAR(Sheet1!$A26)</f>
        <v>2025</v>
      </c>
      <c r="J26" s="10">
        <f>DAY(Sheet1!$A26)</f>
        <v>28</v>
      </c>
      <c r="K26" s="12" t="s">
        <v>2023</v>
      </c>
      <c r="L26" s="13" t="str">
        <f t="shared" si="1"/>
        <v>Regular Customer</v>
      </c>
    </row>
    <row r="27" spans="1:12" ht="15.75" customHeight="1" x14ac:dyDescent="0.3">
      <c r="A27" s="14">
        <v>45464</v>
      </c>
      <c r="B27" s="15" t="s">
        <v>1625</v>
      </c>
      <c r="C27" s="15" t="s">
        <v>24</v>
      </c>
      <c r="D27" s="15" t="s">
        <v>19</v>
      </c>
      <c r="E27" s="16">
        <v>6.13</v>
      </c>
      <c r="F27" s="15" t="s">
        <v>10</v>
      </c>
      <c r="G27" s="15">
        <v>6.13</v>
      </c>
      <c r="H27" s="17">
        <f t="shared" si="0"/>
        <v>6</v>
      </c>
      <c r="I27" s="17">
        <f>YEAR(Sheet1!$A27)</f>
        <v>2024</v>
      </c>
      <c r="J27" s="17">
        <f>DAY(Sheet1!$A27)</f>
        <v>21</v>
      </c>
      <c r="K27" s="18" t="s">
        <v>2023</v>
      </c>
      <c r="L27" s="19" t="str">
        <f t="shared" si="1"/>
        <v>Regular Customer</v>
      </c>
    </row>
    <row r="28" spans="1:12" ht="15.75" customHeight="1" x14ac:dyDescent="0.3">
      <c r="A28" s="7">
        <v>45590</v>
      </c>
      <c r="B28" s="8" t="s">
        <v>844</v>
      </c>
      <c r="C28" s="8" t="s">
        <v>24</v>
      </c>
      <c r="D28" s="8" t="s">
        <v>19</v>
      </c>
      <c r="E28" s="9">
        <v>6.16</v>
      </c>
      <c r="F28" s="8" t="s">
        <v>11</v>
      </c>
      <c r="G28" s="8">
        <v>6.16</v>
      </c>
      <c r="H28" s="10">
        <f t="shared" si="0"/>
        <v>10</v>
      </c>
      <c r="I28" s="10">
        <f>YEAR(Sheet1!$A28)</f>
        <v>2024</v>
      </c>
      <c r="J28" s="10">
        <f>DAY(Sheet1!$A28)</f>
        <v>25</v>
      </c>
      <c r="K28" s="12" t="s">
        <v>2023</v>
      </c>
      <c r="L28" s="13" t="str">
        <f t="shared" si="1"/>
        <v>Regular Customer</v>
      </c>
    </row>
    <row r="29" spans="1:12" ht="15.75" customHeight="1" x14ac:dyDescent="0.3">
      <c r="A29" s="14">
        <v>45618</v>
      </c>
      <c r="B29" s="15" t="s">
        <v>1306</v>
      </c>
      <c r="C29" s="15" t="s">
        <v>13</v>
      </c>
      <c r="D29" s="15" t="s">
        <v>9</v>
      </c>
      <c r="E29" s="16">
        <v>6.27</v>
      </c>
      <c r="F29" s="15" t="s">
        <v>10</v>
      </c>
      <c r="G29" s="15">
        <v>6.27</v>
      </c>
      <c r="H29" s="17">
        <f t="shared" si="0"/>
        <v>11</v>
      </c>
      <c r="I29" s="17">
        <f>YEAR(Sheet1!$A29)</f>
        <v>2024</v>
      </c>
      <c r="J29" s="17">
        <f>DAY(Sheet1!$A29)</f>
        <v>22</v>
      </c>
      <c r="K29" s="18" t="s">
        <v>2023</v>
      </c>
      <c r="L29" s="19" t="str">
        <f t="shared" si="1"/>
        <v>Regular Customer</v>
      </c>
    </row>
    <row r="30" spans="1:12" ht="15.75" customHeight="1" x14ac:dyDescent="0.3">
      <c r="A30" s="7">
        <v>45727</v>
      </c>
      <c r="B30" s="8" t="s">
        <v>76</v>
      </c>
      <c r="C30" s="8" t="s">
        <v>13</v>
      </c>
      <c r="D30" s="8" t="s">
        <v>19</v>
      </c>
      <c r="E30" s="9">
        <v>6.28</v>
      </c>
      <c r="F30" s="8" t="s">
        <v>11</v>
      </c>
      <c r="G30" s="8">
        <v>6.28</v>
      </c>
      <c r="H30" s="10">
        <f t="shared" si="0"/>
        <v>3</v>
      </c>
      <c r="I30" s="10">
        <f>YEAR(Sheet1!$A30)</f>
        <v>2025</v>
      </c>
      <c r="J30" s="10">
        <f>DAY(Sheet1!$A30)</f>
        <v>11</v>
      </c>
      <c r="K30" s="12" t="s">
        <v>2022</v>
      </c>
      <c r="L30" s="13" t="str">
        <f t="shared" si="1"/>
        <v>Regular Customer</v>
      </c>
    </row>
    <row r="31" spans="1:12" ht="15.75" customHeight="1" x14ac:dyDescent="0.3">
      <c r="A31" s="14">
        <v>45686</v>
      </c>
      <c r="B31" s="15" t="s">
        <v>1488</v>
      </c>
      <c r="C31" s="15" t="s">
        <v>18</v>
      </c>
      <c r="D31" s="15" t="s">
        <v>14</v>
      </c>
      <c r="E31" s="16">
        <v>6.31</v>
      </c>
      <c r="F31" s="15" t="s">
        <v>10</v>
      </c>
      <c r="G31" s="15">
        <v>6.31</v>
      </c>
      <c r="H31" s="17">
        <f t="shared" si="0"/>
        <v>1</v>
      </c>
      <c r="I31" s="17">
        <f>YEAR(Sheet1!$A31)</f>
        <v>2025</v>
      </c>
      <c r="J31" s="17">
        <f>DAY(Sheet1!$A31)</f>
        <v>29</v>
      </c>
      <c r="K31" s="18" t="s">
        <v>2022</v>
      </c>
      <c r="L31" s="19" t="str">
        <f t="shared" si="1"/>
        <v>Regular Customer</v>
      </c>
    </row>
    <row r="32" spans="1:12" ht="15.75" customHeight="1" x14ac:dyDescent="0.3">
      <c r="A32" s="7">
        <v>45416</v>
      </c>
      <c r="B32" s="8" t="s">
        <v>826</v>
      </c>
      <c r="C32" s="8" t="s">
        <v>24</v>
      </c>
      <c r="D32" s="8" t="s">
        <v>9</v>
      </c>
      <c r="E32" s="9">
        <v>6.32</v>
      </c>
      <c r="F32" s="8" t="s">
        <v>10</v>
      </c>
      <c r="G32" s="8">
        <v>6.32</v>
      </c>
      <c r="H32" s="10">
        <f t="shared" si="0"/>
        <v>5</v>
      </c>
      <c r="I32" s="10">
        <f>YEAR(Sheet1!$A32)</f>
        <v>2024</v>
      </c>
      <c r="J32" s="10">
        <f>DAY(Sheet1!$A32)</f>
        <v>4</v>
      </c>
      <c r="K32" s="12" t="s">
        <v>2022</v>
      </c>
      <c r="L32" s="13" t="str">
        <f t="shared" si="1"/>
        <v>Regular Customer</v>
      </c>
    </row>
    <row r="33" spans="1:12" ht="15.75" customHeight="1" x14ac:dyDescent="0.3">
      <c r="A33" s="14">
        <v>45724</v>
      </c>
      <c r="B33" s="15" t="s">
        <v>1986</v>
      </c>
      <c r="C33" s="15" t="s">
        <v>24</v>
      </c>
      <c r="D33" s="15" t="s">
        <v>9</v>
      </c>
      <c r="E33" s="16">
        <v>6.35</v>
      </c>
      <c r="F33" s="15" t="s">
        <v>11</v>
      </c>
      <c r="G33" s="15">
        <v>6.35</v>
      </c>
      <c r="H33" s="17">
        <f t="shared" si="0"/>
        <v>3</v>
      </c>
      <c r="I33" s="17">
        <f>YEAR(Sheet1!$A33)</f>
        <v>2025</v>
      </c>
      <c r="J33" s="17">
        <f>DAY(Sheet1!$A33)</f>
        <v>8</v>
      </c>
      <c r="K33" s="18" t="s">
        <v>2022</v>
      </c>
      <c r="L33" s="19" t="str">
        <f t="shared" si="1"/>
        <v>Regular Customer</v>
      </c>
    </row>
    <row r="34" spans="1:12" ht="15.75" customHeight="1" x14ac:dyDescent="0.3">
      <c r="A34" s="7">
        <v>45509</v>
      </c>
      <c r="B34" s="8" t="s">
        <v>232</v>
      </c>
      <c r="C34" s="8" t="s">
        <v>8</v>
      </c>
      <c r="D34" s="8" t="s">
        <v>14</v>
      </c>
      <c r="E34" s="9">
        <v>6.52</v>
      </c>
      <c r="F34" s="8" t="s">
        <v>10</v>
      </c>
      <c r="G34" s="8">
        <v>6.52</v>
      </c>
      <c r="H34" s="10">
        <f t="shared" si="0"/>
        <v>8</v>
      </c>
      <c r="I34" s="10">
        <f>YEAR(Sheet1!$A34)</f>
        <v>2024</v>
      </c>
      <c r="J34" s="10">
        <f>DAY(Sheet1!$A34)</f>
        <v>5</v>
      </c>
      <c r="K34" s="12" t="s">
        <v>2022</v>
      </c>
      <c r="L34" s="13" t="str">
        <f t="shared" si="1"/>
        <v>Regular Customer</v>
      </c>
    </row>
    <row r="35" spans="1:12" ht="15.75" customHeight="1" x14ac:dyDescent="0.3">
      <c r="A35" s="14">
        <v>45751</v>
      </c>
      <c r="B35" s="15" t="s">
        <v>432</v>
      </c>
      <c r="C35" s="15" t="s">
        <v>8</v>
      </c>
      <c r="D35" s="15" t="s">
        <v>9</v>
      </c>
      <c r="E35" s="16">
        <v>6.54</v>
      </c>
      <c r="F35" s="15" t="s">
        <v>11</v>
      </c>
      <c r="G35" s="15">
        <v>6.54</v>
      </c>
      <c r="H35" s="17">
        <f t="shared" si="0"/>
        <v>4</v>
      </c>
      <c r="I35" s="17">
        <f>YEAR(Sheet1!$A35)</f>
        <v>2025</v>
      </c>
      <c r="J35" s="17">
        <f>DAY(Sheet1!$A35)</f>
        <v>4</v>
      </c>
      <c r="K35" s="18" t="s">
        <v>2023</v>
      </c>
      <c r="L35" s="19" t="str">
        <f t="shared" si="1"/>
        <v>Regular Customer</v>
      </c>
    </row>
    <row r="36" spans="1:12" ht="15.75" customHeight="1" x14ac:dyDescent="0.3">
      <c r="A36" s="7">
        <v>45501</v>
      </c>
      <c r="B36" s="8" t="s">
        <v>1584</v>
      </c>
      <c r="C36" s="8" t="s">
        <v>8</v>
      </c>
      <c r="D36" s="8" t="s">
        <v>19</v>
      </c>
      <c r="E36" s="9">
        <v>6.55</v>
      </c>
      <c r="F36" s="8" t="s">
        <v>11</v>
      </c>
      <c r="G36" s="8">
        <v>6.55</v>
      </c>
      <c r="H36" s="10">
        <f t="shared" si="0"/>
        <v>7</v>
      </c>
      <c r="I36" s="10">
        <f>YEAR(Sheet1!$A36)</f>
        <v>2024</v>
      </c>
      <c r="J36" s="10">
        <f>DAY(Sheet1!$A36)</f>
        <v>28</v>
      </c>
      <c r="K36" s="12" t="s">
        <v>2023</v>
      </c>
      <c r="L36" s="13" t="str">
        <f t="shared" si="1"/>
        <v>Regular Customer</v>
      </c>
    </row>
    <row r="37" spans="1:12" ht="15.75" customHeight="1" x14ac:dyDescent="0.3">
      <c r="A37" s="14">
        <v>45454</v>
      </c>
      <c r="B37" s="15" t="s">
        <v>1522</v>
      </c>
      <c r="C37" s="15" t="s">
        <v>18</v>
      </c>
      <c r="D37" s="15" t="s">
        <v>19</v>
      </c>
      <c r="E37" s="16">
        <v>6.64</v>
      </c>
      <c r="F37" s="15" t="s">
        <v>10</v>
      </c>
      <c r="G37" s="15">
        <v>6.64</v>
      </c>
      <c r="H37" s="17">
        <f t="shared" si="0"/>
        <v>6</v>
      </c>
      <c r="I37" s="17">
        <f>YEAR(Sheet1!$A37)</f>
        <v>2024</v>
      </c>
      <c r="J37" s="17">
        <f>DAY(Sheet1!$A37)</f>
        <v>11</v>
      </c>
      <c r="K37" s="18" t="s">
        <v>2023</v>
      </c>
      <c r="L37" s="19" t="str">
        <f t="shared" si="1"/>
        <v>Regular Customer</v>
      </c>
    </row>
    <row r="38" spans="1:12" ht="15.75" customHeight="1" x14ac:dyDescent="0.3">
      <c r="A38" s="7">
        <v>45670</v>
      </c>
      <c r="B38" s="8" t="s">
        <v>1494</v>
      </c>
      <c r="C38" s="8" t="s">
        <v>13</v>
      </c>
      <c r="D38" s="8" t="s">
        <v>16</v>
      </c>
      <c r="E38" s="9">
        <v>6.64</v>
      </c>
      <c r="F38" s="8" t="s">
        <v>10</v>
      </c>
      <c r="G38" s="8">
        <v>6.64</v>
      </c>
      <c r="H38" s="10">
        <f t="shared" si="0"/>
        <v>1</v>
      </c>
      <c r="I38" s="10">
        <f>YEAR(Sheet1!$A38)</f>
        <v>2025</v>
      </c>
      <c r="J38" s="10">
        <f>DAY(Sheet1!$A38)</f>
        <v>13</v>
      </c>
      <c r="K38" s="12" t="s">
        <v>2023</v>
      </c>
      <c r="L38" s="13" t="str">
        <f t="shared" si="1"/>
        <v>Regular Customer</v>
      </c>
    </row>
    <row r="39" spans="1:12" ht="15.75" customHeight="1" x14ac:dyDescent="0.3">
      <c r="A39" s="14">
        <v>45750</v>
      </c>
      <c r="B39" s="15" t="s">
        <v>766</v>
      </c>
      <c r="C39" s="15" t="s">
        <v>13</v>
      </c>
      <c r="D39" s="15" t="s">
        <v>14</v>
      </c>
      <c r="E39" s="16">
        <v>6.66</v>
      </c>
      <c r="F39" s="15" t="s">
        <v>10</v>
      </c>
      <c r="G39" s="15">
        <v>6.66</v>
      </c>
      <c r="H39" s="17">
        <f t="shared" si="0"/>
        <v>4</v>
      </c>
      <c r="I39" s="17">
        <f>YEAR(Sheet1!$A39)</f>
        <v>2025</v>
      </c>
      <c r="J39" s="17">
        <f>DAY(Sheet1!$A39)</f>
        <v>3</v>
      </c>
      <c r="K39" s="18" t="s">
        <v>2022</v>
      </c>
      <c r="L39" s="19" t="str">
        <f t="shared" si="1"/>
        <v>Regular Customer</v>
      </c>
    </row>
    <row r="40" spans="1:12" ht="15.75" customHeight="1" x14ac:dyDescent="0.3">
      <c r="A40" s="7">
        <v>45492</v>
      </c>
      <c r="B40" s="8" t="s">
        <v>2003</v>
      </c>
      <c r="C40" s="8" t="s">
        <v>13</v>
      </c>
      <c r="D40" s="8" t="s">
        <v>14</v>
      </c>
      <c r="E40" s="9">
        <v>6.82</v>
      </c>
      <c r="F40" s="8" t="s">
        <v>10</v>
      </c>
      <c r="G40" s="8">
        <v>6.82</v>
      </c>
      <c r="H40" s="10">
        <f t="shared" si="0"/>
        <v>7</v>
      </c>
      <c r="I40" s="10">
        <f>YEAR(Sheet1!$A40)</f>
        <v>2024</v>
      </c>
      <c r="J40" s="10">
        <f>DAY(Sheet1!$A40)</f>
        <v>19</v>
      </c>
      <c r="K40" s="12" t="s">
        <v>2023</v>
      </c>
      <c r="L40" s="13" t="str">
        <f t="shared" si="1"/>
        <v>Regular Customer</v>
      </c>
    </row>
    <row r="41" spans="1:12" ht="15.75" customHeight="1" x14ac:dyDescent="0.3">
      <c r="A41" s="14">
        <v>45703</v>
      </c>
      <c r="B41" s="15" t="s">
        <v>1237</v>
      </c>
      <c r="C41" s="15" t="s">
        <v>13</v>
      </c>
      <c r="D41" s="15" t="s">
        <v>14</v>
      </c>
      <c r="E41" s="16">
        <v>6.84</v>
      </c>
      <c r="F41" s="15" t="s">
        <v>10</v>
      </c>
      <c r="G41" s="15">
        <v>6.84</v>
      </c>
      <c r="H41" s="17">
        <f t="shared" si="0"/>
        <v>2</v>
      </c>
      <c r="I41" s="17">
        <f>YEAR(Sheet1!$A41)</f>
        <v>2025</v>
      </c>
      <c r="J41" s="17">
        <f>DAY(Sheet1!$A41)</f>
        <v>15</v>
      </c>
      <c r="K41" s="18" t="s">
        <v>2023</v>
      </c>
      <c r="L41" s="19" t="str">
        <f t="shared" si="1"/>
        <v>Regular Customer</v>
      </c>
    </row>
    <row r="42" spans="1:12" ht="15.75" customHeight="1" x14ac:dyDescent="0.3">
      <c r="A42" s="7">
        <v>45545</v>
      </c>
      <c r="B42" s="8" t="s">
        <v>603</v>
      </c>
      <c r="C42" s="8" t="s">
        <v>13</v>
      </c>
      <c r="D42" s="8" t="s">
        <v>19</v>
      </c>
      <c r="E42" s="9">
        <v>6.93</v>
      </c>
      <c r="F42" s="8" t="s">
        <v>10</v>
      </c>
      <c r="G42" s="8">
        <v>6.93</v>
      </c>
      <c r="H42" s="10">
        <f t="shared" si="0"/>
        <v>9</v>
      </c>
      <c r="I42" s="10">
        <f>YEAR(Sheet1!$A42)</f>
        <v>2024</v>
      </c>
      <c r="J42" s="10">
        <f>DAY(Sheet1!$A42)</f>
        <v>10</v>
      </c>
      <c r="K42" s="12" t="s">
        <v>2023</v>
      </c>
      <c r="L42" s="13" t="str">
        <f t="shared" si="1"/>
        <v>Regular Customer</v>
      </c>
    </row>
    <row r="43" spans="1:12" ht="15.75" customHeight="1" x14ac:dyDescent="0.3">
      <c r="A43" s="14">
        <v>45522</v>
      </c>
      <c r="B43" s="15" t="s">
        <v>328</v>
      </c>
      <c r="C43" s="15" t="s">
        <v>13</v>
      </c>
      <c r="D43" s="15" t="s">
        <v>16</v>
      </c>
      <c r="E43" s="16">
        <v>6.99</v>
      </c>
      <c r="F43" s="15" t="s">
        <v>10</v>
      </c>
      <c r="G43" s="15">
        <v>6.99</v>
      </c>
      <c r="H43" s="17">
        <f t="shared" si="0"/>
        <v>8</v>
      </c>
      <c r="I43" s="17">
        <f>YEAR(Sheet1!$A43)</f>
        <v>2024</v>
      </c>
      <c r="J43" s="17">
        <f>DAY(Sheet1!$A43)</f>
        <v>18</v>
      </c>
      <c r="K43" s="18" t="s">
        <v>2022</v>
      </c>
      <c r="L43" s="19" t="str">
        <f t="shared" si="1"/>
        <v>Regular Customer</v>
      </c>
    </row>
    <row r="44" spans="1:12" ht="15.75" customHeight="1" x14ac:dyDescent="0.3">
      <c r="A44" s="7">
        <v>45765</v>
      </c>
      <c r="B44" s="8" t="s">
        <v>77</v>
      </c>
      <c r="C44" s="8" t="s">
        <v>13</v>
      </c>
      <c r="D44" s="8" t="s">
        <v>16</v>
      </c>
      <c r="E44" s="9">
        <v>7.02</v>
      </c>
      <c r="F44" s="8" t="s">
        <v>11</v>
      </c>
      <c r="G44" s="8">
        <v>7.02</v>
      </c>
      <c r="H44" s="10">
        <f t="shared" si="0"/>
        <v>4</v>
      </c>
      <c r="I44" s="10">
        <f>YEAR(Sheet1!$A44)</f>
        <v>2025</v>
      </c>
      <c r="J44" s="10">
        <f>DAY(Sheet1!$A44)</f>
        <v>18</v>
      </c>
      <c r="K44" s="12" t="s">
        <v>2023</v>
      </c>
      <c r="L44" s="13" t="str">
        <f t="shared" si="1"/>
        <v>Regular Customer</v>
      </c>
    </row>
    <row r="45" spans="1:12" ht="15.75" customHeight="1" x14ac:dyDescent="0.3">
      <c r="A45" s="14">
        <v>45705</v>
      </c>
      <c r="B45" s="15" t="s">
        <v>21</v>
      </c>
      <c r="C45" s="15" t="s">
        <v>8</v>
      </c>
      <c r="D45" s="15" t="s">
        <v>9</v>
      </c>
      <c r="E45" s="16">
        <v>7.11</v>
      </c>
      <c r="F45" s="15" t="s">
        <v>11</v>
      </c>
      <c r="G45" s="15">
        <v>7.11</v>
      </c>
      <c r="H45" s="17">
        <f t="shared" si="0"/>
        <v>2</v>
      </c>
      <c r="I45" s="17">
        <f>YEAR(Sheet1!$A45)</f>
        <v>2025</v>
      </c>
      <c r="J45" s="17">
        <f>DAY(Sheet1!$A45)</f>
        <v>17</v>
      </c>
      <c r="K45" s="18" t="s">
        <v>2022</v>
      </c>
      <c r="L45" s="19" t="str">
        <f t="shared" si="1"/>
        <v>Regular Customer</v>
      </c>
    </row>
    <row r="46" spans="1:12" ht="15.75" customHeight="1" x14ac:dyDescent="0.3">
      <c r="A46" s="7">
        <v>45722</v>
      </c>
      <c r="B46" s="8" t="s">
        <v>1449</v>
      </c>
      <c r="C46" s="8" t="s">
        <v>18</v>
      </c>
      <c r="D46" s="8" t="s">
        <v>16</v>
      </c>
      <c r="E46" s="9">
        <v>7.11</v>
      </c>
      <c r="F46" s="8" t="s">
        <v>11</v>
      </c>
      <c r="G46" s="8">
        <v>7.11</v>
      </c>
      <c r="H46" s="10">
        <f t="shared" si="0"/>
        <v>3</v>
      </c>
      <c r="I46" s="10">
        <f>YEAR(Sheet1!$A46)</f>
        <v>2025</v>
      </c>
      <c r="J46" s="10">
        <f>DAY(Sheet1!$A46)</f>
        <v>6</v>
      </c>
      <c r="K46" s="12" t="s">
        <v>2022</v>
      </c>
      <c r="L46" s="13" t="str">
        <f t="shared" si="1"/>
        <v>Regular Customer</v>
      </c>
    </row>
    <row r="47" spans="1:12" ht="15.75" customHeight="1" x14ac:dyDescent="0.3">
      <c r="A47" s="14">
        <v>45744</v>
      </c>
      <c r="B47" s="15" t="s">
        <v>803</v>
      </c>
      <c r="C47" s="15" t="s">
        <v>8</v>
      </c>
      <c r="D47" s="15" t="s">
        <v>16</v>
      </c>
      <c r="E47" s="16">
        <v>7.17</v>
      </c>
      <c r="F47" s="15" t="s">
        <v>10</v>
      </c>
      <c r="G47" s="15">
        <v>7.17</v>
      </c>
      <c r="H47" s="17">
        <f t="shared" si="0"/>
        <v>3</v>
      </c>
      <c r="I47" s="17">
        <f>YEAR(Sheet1!$A47)</f>
        <v>2025</v>
      </c>
      <c r="J47" s="17">
        <f>DAY(Sheet1!$A47)</f>
        <v>28</v>
      </c>
      <c r="K47" s="18" t="s">
        <v>2023</v>
      </c>
      <c r="L47" s="19" t="str">
        <f t="shared" si="1"/>
        <v>Regular Customer</v>
      </c>
    </row>
    <row r="48" spans="1:12" ht="15.75" customHeight="1" x14ac:dyDescent="0.3">
      <c r="A48" s="7">
        <v>45646</v>
      </c>
      <c r="B48" s="8" t="s">
        <v>154</v>
      </c>
      <c r="C48" s="8" t="s">
        <v>13</v>
      </c>
      <c r="D48" s="8" t="s">
        <v>9</v>
      </c>
      <c r="E48" s="9">
        <v>7.18</v>
      </c>
      <c r="F48" s="8" t="s">
        <v>11</v>
      </c>
      <c r="G48" s="8">
        <v>7.18</v>
      </c>
      <c r="H48" s="10">
        <f t="shared" si="0"/>
        <v>12</v>
      </c>
      <c r="I48" s="10">
        <f>YEAR(Sheet1!$A48)</f>
        <v>2024</v>
      </c>
      <c r="J48" s="10">
        <f>DAY(Sheet1!$A48)</f>
        <v>20</v>
      </c>
      <c r="K48" s="12" t="s">
        <v>2022</v>
      </c>
      <c r="L48" s="13" t="str">
        <f t="shared" si="1"/>
        <v>Regular Customer</v>
      </c>
    </row>
    <row r="49" spans="1:12" ht="15.75" customHeight="1" x14ac:dyDescent="0.3">
      <c r="A49" s="14">
        <v>45440</v>
      </c>
      <c r="B49" s="15" t="s">
        <v>910</v>
      </c>
      <c r="C49" s="15" t="s">
        <v>13</v>
      </c>
      <c r="D49" s="15" t="s">
        <v>19</v>
      </c>
      <c r="E49" s="16">
        <v>7.22</v>
      </c>
      <c r="F49" s="15" t="s">
        <v>11</v>
      </c>
      <c r="G49" s="15">
        <v>7.22</v>
      </c>
      <c r="H49" s="17">
        <f t="shared" si="0"/>
        <v>5</v>
      </c>
      <c r="I49" s="17">
        <f>YEAR(Sheet1!$A49)</f>
        <v>2024</v>
      </c>
      <c r="J49" s="17">
        <f>DAY(Sheet1!$A49)</f>
        <v>28</v>
      </c>
      <c r="K49" s="18" t="s">
        <v>2022</v>
      </c>
      <c r="L49" s="19" t="str">
        <f t="shared" si="1"/>
        <v>Regular Customer</v>
      </c>
    </row>
    <row r="50" spans="1:12" ht="15.75" customHeight="1" x14ac:dyDescent="0.3">
      <c r="A50" s="7">
        <v>45556</v>
      </c>
      <c r="B50" s="8" t="s">
        <v>1252</v>
      </c>
      <c r="C50" s="8" t="s">
        <v>8</v>
      </c>
      <c r="D50" s="8" t="s">
        <v>19</v>
      </c>
      <c r="E50" s="9">
        <v>7.22</v>
      </c>
      <c r="F50" s="8" t="s">
        <v>11</v>
      </c>
      <c r="G50" s="8">
        <v>7.22</v>
      </c>
      <c r="H50" s="10">
        <f t="shared" si="0"/>
        <v>9</v>
      </c>
      <c r="I50" s="10">
        <f>YEAR(Sheet1!$A50)</f>
        <v>2024</v>
      </c>
      <c r="J50" s="10">
        <f>DAY(Sheet1!$A50)</f>
        <v>21</v>
      </c>
      <c r="K50" s="12" t="s">
        <v>2023</v>
      </c>
      <c r="L50" s="13" t="str">
        <f t="shared" si="1"/>
        <v>Regular Customer</v>
      </c>
    </row>
    <row r="51" spans="1:12" ht="15.75" customHeight="1" x14ac:dyDescent="0.3">
      <c r="A51" s="14">
        <v>45480</v>
      </c>
      <c r="B51" s="15" t="s">
        <v>1636</v>
      </c>
      <c r="C51" s="15" t="s">
        <v>24</v>
      </c>
      <c r="D51" s="15" t="s">
        <v>19</v>
      </c>
      <c r="E51" s="16">
        <v>7.23</v>
      </c>
      <c r="F51" s="15" t="s">
        <v>10</v>
      </c>
      <c r="G51" s="15">
        <v>7.23</v>
      </c>
      <c r="H51" s="17">
        <f t="shared" si="0"/>
        <v>7</v>
      </c>
      <c r="I51" s="17">
        <f>YEAR(Sheet1!$A51)</f>
        <v>2024</v>
      </c>
      <c r="J51" s="17">
        <f>DAY(Sheet1!$A51)</f>
        <v>7</v>
      </c>
      <c r="K51" s="18" t="s">
        <v>2022</v>
      </c>
      <c r="L51" s="19" t="str">
        <f t="shared" si="1"/>
        <v>Regular Customer</v>
      </c>
    </row>
    <row r="52" spans="1:12" ht="15.75" customHeight="1" x14ac:dyDescent="0.3">
      <c r="A52" s="7">
        <v>45607</v>
      </c>
      <c r="B52" s="8" t="s">
        <v>1629</v>
      </c>
      <c r="C52" s="8" t="s">
        <v>18</v>
      </c>
      <c r="D52" s="8" t="s">
        <v>19</v>
      </c>
      <c r="E52" s="9">
        <v>7.25</v>
      </c>
      <c r="F52" s="8" t="s">
        <v>10</v>
      </c>
      <c r="G52" s="8">
        <v>7.25</v>
      </c>
      <c r="H52" s="10">
        <f t="shared" si="0"/>
        <v>11</v>
      </c>
      <c r="I52" s="10">
        <f>YEAR(Sheet1!$A52)</f>
        <v>2024</v>
      </c>
      <c r="J52" s="10">
        <f>DAY(Sheet1!$A52)</f>
        <v>11</v>
      </c>
      <c r="K52" s="12" t="s">
        <v>2023</v>
      </c>
      <c r="L52" s="13" t="str">
        <f t="shared" si="1"/>
        <v>Regular Customer</v>
      </c>
    </row>
    <row r="53" spans="1:12" ht="15.75" customHeight="1" x14ac:dyDescent="0.3">
      <c r="A53" s="14">
        <v>45591</v>
      </c>
      <c r="B53" s="15" t="s">
        <v>657</v>
      </c>
      <c r="C53" s="15" t="s">
        <v>18</v>
      </c>
      <c r="D53" s="15" t="s">
        <v>19</v>
      </c>
      <c r="E53" s="16">
        <v>7.31</v>
      </c>
      <c r="F53" s="15" t="s">
        <v>10</v>
      </c>
      <c r="G53" s="15">
        <v>7.31</v>
      </c>
      <c r="H53" s="17">
        <f t="shared" si="0"/>
        <v>10</v>
      </c>
      <c r="I53" s="17">
        <f>YEAR(Sheet1!$A53)</f>
        <v>2024</v>
      </c>
      <c r="J53" s="17">
        <f>DAY(Sheet1!$A53)</f>
        <v>26</v>
      </c>
      <c r="K53" s="18" t="s">
        <v>2023</v>
      </c>
      <c r="L53" s="19" t="str">
        <f t="shared" si="1"/>
        <v>Regular Customer</v>
      </c>
    </row>
    <row r="54" spans="1:12" ht="15.75" customHeight="1" x14ac:dyDescent="0.3">
      <c r="A54" s="7">
        <v>45626</v>
      </c>
      <c r="B54" s="8" t="s">
        <v>770</v>
      </c>
      <c r="C54" s="8" t="s">
        <v>24</v>
      </c>
      <c r="D54" s="8" t="s">
        <v>16</v>
      </c>
      <c r="E54" s="9">
        <v>7.34</v>
      </c>
      <c r="F54" s="8" t="s">
        <v>11</v>
      </c>
      <c r="G54" s="8">
        <v>7.34</v>
      </c>
      <c r="H54" s="10">
        <f t="shared" si="0"/>
        <v>11</v>
      </c>
      <c r="I54" s="10">
        <f>YEAR(Sheet1!$A54)</f>
        <v>2024</v>
      </c>
      <c r="J54" s="10">
        <f>DAY(Sheet1!$A54)</f>
        <v>30</v>
      </c>
      <c r="K54" s="12" t="s">
        <v>2023</v>
      </c>
      <c r="L54" s="13" t="str">
        <f t="shared" si="1"/>
        <v>Regular Customer</v>
      </c>
    </row>
    <row r="55" spans="1:12" ht="15.75" customHeight="1" x14ac:dyDescent="0.3">
      <c r="A55" s="14">
        <v>45679</v>
      </c>
      <c r="B55" s="15" t="s">
        <v>1089</v>
      </c>
      <c r="C55" s="15" t="s">
        <v>13</v>
      </c>
      <c r="D55" s="15" t="s">
        <v>14</v>
      </c>
      <c r="E55" s="16">
        <v>7.43</v>
      </c>
      <c r="F55" s="15" t="s">
        <v>11</v>
      </c>
      <c r="G55" s="15">
        <v>7.43</v>
      </c>
      <c r="H55" s="17">
        <f t="shared" si="0"/>
        <v>1</v>
      </c>
      <c r="I55" s="17">
        <f>YEAR(Sheet1!$A55)</f>
        <v>2025</v>
      </c>
      <c r="J55" s="17">
        <f>DAY(Sheet1!$A55)</f>
        <v>22</v>
      </c>
      <c r="K55" s="18" t="s">
        <v>2023</v>
      </c>
      <c r="L55" s="19" t="str">
        <f t="shared" si="1"/>
        <v>Regular Customer</v>
      </c>
    </row>
    <row r="56" spans="1:12" ht="15.75" customHeight="1" x14ac:dyDescent="0.3">
      <c r="A56" s="7">
        <v>45768</v>
      </c>
      <c r="B56" s="8" t="s">
        <v>298</v>
      </c>
      <c r="C56" s="8" t="s">
        <v>8</v>
      </c>
      <c r="D56" s="8" t="s">
        <v>16</v>
      </c>
      <c r="E56" s="9">
        <v>7.45</v>
      </c>
      <c r="F56" s="8" t="s">
        <v>11</v>
      </c>
      <c r="G56" s="8">
        <v>7.45</v>
      </c>
      <c r="H56" s="10">
        <f t="shared" si="0"/>
        <v>4</v>
      </c>
      <c r="I56" s="10">
        <f>YEAR(Sheet1!$A56)</f>
        <v>2025</v>
      </c>
      <c r="J56" s="10">
        <f>DAY(Sheet1!$A56)</f>
        <v>21</v>
      </c>
      <c r="K56" s="12" t="s">
        <v>2022</v>
      </c>
      <c r="L56" s="13" t="str">
        <f t="shared" si="1"/>
        <v>Regular Customer</v>
      </c>
    </row>
    <row r="57" spans="1:12" ht="15.75" customHeight="1" x14ac:dyDescent="0.3">
      <c r="A57" s="14">
        <v>45613</v>
      </c>
      <c r="B57" s="15" t="s">
        <v>817</v>
      </c>
      <c r="C57" s="15" t="s">
        <v>24</v>
      </c>
      <c r="D57" s="15" t="s">
        <v>9</v>
      </c>
      <c r="E57" s="16">
        <v>7.46</v>
      </c>
      <c r="F57" s="15" t="s">
        <v>10</v>
      </c>
      <c r="G57" s="15">
        <v>7.46</v>
      </c>
      <c r="H57" s="17">
        <f t="shared" si="0"/>
        <v>11</v>
      </c>
      <c r="I57" s="17">
        <f>YEAR(Sheet1!$A57)</f>
        <v>2024</v>
      </c>
      <c r="J57" s="17">
        <f>DAY(Sheet1!$A57)</f>
        <v>17</v>
      </c>
      <c r="K57" s="18" t="s">
        <v>2022</v>
      </c>
      <c r="L57" s="19" t="str">
        <f t="shared" si="1"/>
        <v>Regular Customer</v>
      </c>
    </row>
    <row r="58" spans="1:12" ht="15.75" customHeight="1" x14ac:dyDescent="0.3">
      <c r="A58" s="7">
        <v>45691</v>
      </c>
      <c r="B58" s="8" t="s">
        <v>1033</v>
      </c>
      <c r="C58" s="8" t="s">
        <v>18</v>
      </c>
      <c r="D58" s="8" t="s">
        <v>14</v>
      </c>
      <c r="E58" s="9">
        <v>7.46</v>
      </c>
      <c r="F58" s="8" t="s">
        <v>10</v>
      </c>
      <c r="G58" s="8">
        <v>7.46</v>
      </c>
      <c r="H58" s="10">
        <f t="shared" si="0"/>
        <v>2</v>
      </c>
      <c r="I58" s="10">
        <f>YEAR(Sheet1!$A58)</f>
        <v>2025</v>
      </c>
      <c r="J58" s="10">
        <f>DAY(Sheet1!$A58)</f>
        <v>3</v>
      </c>
      <c r="K58" s="12" t="s">
        <v>2023</v>
      </c>
      <c r="L58" s="13" t="str">
        <f t="shared" si="1"/>
        <v>Regular Customer</v>
      </c>
    </row>
    <row r="59" spans="1:12" ht="15.75" customHeight="1" x14ac:dyDescent="0.3">
      <c r="A59" s="14">
        <v>45624</v>
      </c>
      <c r="B59" s="15" t="s">
        <v>676</v>
      </c>
      <c r="C59" s="15" t="s">
        <v>24</v>
      </c>
      <c r="D59" s="15" t="s">
        <v>19</v>
      </c>
      <c r="E59" s="16">
        <v>7.51</v>
      </c>
      <c r="F59" s="15" t="s">
        <v>11</v>
      </c>
      <c r="G59" s="15">
        <v>7.51</v>
      </c>
      <c r="H59" s="17">
        <f t="shared" si="0"/>
        <v>11</v>
      </c>
      <c r="I59" s="17">
        <f>YEAR(Sheet1!$A59)</f>
        <v>2024</v>
      </c>
      <c r="J59" s="17">
        <f>DAY(Sheet1!$A59)</f>
        <v>28</v>
      </c>
      <c r="K59" s="18" t="s">
        <v>2023</v>
      </c>
      <c r="L59" s="19" t="str">
        <f t="shared" si="1"/>
        <v>Regular Customer</v>
      </c>
    </row>
    <row r="60" spans="1:12" ht="15.75" customHeight="1" x14ac:dyDescent="0.3">
      <c r="A60" s="7">
        <v>45712</v>
      </c>
      <c r="B60" s="8" t="s">
        <v>1482</v>
      </c>
      <c r="C60" s="8" t="s">
        <v>8</v>
      </c>
      <c r="D60" s="8" t="s">
        <v>14</v>
      </c>
      <c r="E60" s="9">
        <v>7.51</v>
      </c>
      <c r="F60" s="8" t="s">
        <v>11</v>
      </c>
      <c r="G60" s="8">
        <v>7.51</v>
      </c>
      <c r="H60" s="10">
        <f t="shared" si="0"/>
        <v>2</v>
      </c>
      <c r="I60" s="10">
        <f>YEAR(Sheet1!$A60)</f>
        <v>2025</v>
      </c>
      <c r="J60" s="10">
        <f>DAY(Sheet1!$A60)</f>
        <v>24</v>
      </c>
      <c r="K60" s="12" t="s">
        <v>2023</v>
      </c>
      <c r="L60" s="13" t="str">
        <f t="shared" si="1"/>
        <v>Regular Customer</v>
      </c>
    </row>
    <row r="61" spans="1:12" ht="15.75" customHeight="1" x14ac:dyDescent="0.3">
      <c r="A61" s="14">
        <v>45508</v>
      </c>
      <c r="B61" s="15" t="s">
        <v>607</v>
      </c>
      <c r="C61" s="15" t="s">
        <v>13</v>
      </c>
      <c r="D61" s="15" t="s">
        <v>16</v>
      </c>
      <c r="E61" s="16">
        <v>7.52</v>
      </c>
      <c r="F61" s="15" t="s">
        <v>10</v>
      </c>
      <c r="G61" s="15">
        <v>7.52</v>
      </c>
      <c r="H61" s="17">
        <f t="shared" si="0"/>
        <v>8</v>
      </c>
      <c r="I61" s="17">
        <f>YEAR(Sheet1!$A61)</f>
        <v>2024</v>
      </c>
      <c r="J61" s="17">
        <f>DAY(Sheet1!$A61)</f>
        <v>4</v>
      </c>
      <c r="K61" s="18" t="s">
        <v>2023</v>
      </c>
      <c r="L61" s="19" t="str">
        <f t="shared" si="1"/>
        <v>Regular Customer</v>
      </c>
    </row>
    <row r="62" spans="1:12" ht="15.75" customHeight="1" x14ac:dyDescent="0.3">
      <c r="A62" s="7">
        <v>45639</v>
      </c>
      <c r="B62" s="8" t="s">
        <v>160</v>
      </c>
      <c r="C62" s="8" t="s">
        <v>24</v>
      </c>
      <c r="D62" s="8" t="s">
        <v>16</v>
      </c>
      <c r="E62" s="9">
        <v>7.68</v>
      </c>
      <c r="F62" s="8" t="s">
        <v>10</v>
      </c>
      <c r="G62" s="8">
        <v>7.68</v>
      </c>
      <c r="H62" s="10">
        <f t="shared" si="0"/>
        <v>12</v>
      </c>
      <c r="I62" s="10">
        <f>YEAR(Sheet1!$A62)</f>
        <v>2024</v>
      </c>
      <c r="J62" s="10">
        <f>DAY(Sheet1!$A62)</f>
        <v>13</v>
      </c>
      <c r="K62" s="12" t="s">
        <v>2023</v>
      </c>
      <c r="L62" s="13" t="str">
        <f t="shared" si="1"/>
        <v>Regular Customer</v>
      </c>
    </row>
    <row r="63" spans="1:12" ht="15.75" customHeight="1" x14ac:dyDescent="0.3">
      <c r="A63" s="14">
        <v>45678</v>
      </c>
      <c r="B63" s="15" t="s">
        <v>1446</v>
      </c>
      <c r="C63" s="15" t="s">
        <v>24</v>
      </c>
      <c r="D63" s="15" t="s">
        <v>9</v>
      </c>
      <c r="E63" s="16">
        <v>7.81</v>
      </c>
      <c r="F63" s="15" t="s">
        <v>11</v>
      </c>
      <c r="G63" s="15">
        <v>7.81</v>
      </c>
      <c r="H63" s="17">
        <f t="shared" si="0"/>
        <v>1</v>
      </c>
      <c r="I63" s="17">
        <f>YEAR(Sheet1!$A63)</f>
        <v>2025</v>
      </c>
      <c r="J63" s="17">
        <f>DAY(Sheet1!$A63)</f>
        <v>21</v>
      </c>
      <c r="K63" s="18" t="s">
        <v>2022</v>
      </c>
      <c r="L63" s="19" t="str">
        <f t="shared" si="1"/>
        <v>Regular Customer</v>
      </c>
    </row>
    <row r="64" spans="1:12" ht="15.75" customHeight="1" x14ac:dyDescent="0.3">
      <c r="A64" s="7">
        <v>45581</v>
      </c>
      <c r="B64" s="8" t="s">
        <v>1466</v>
      </c>
      <c r="C64" s="8" t="s">
        <v>13</v>
      </c>
      <c r="D64" s="8" t="s">
        <v>14</v>
      </c>
      <c r="E64" s="9">
        <v>7.82</v>
      </c>
      <c r="F64" s="8" t="s">
        <v>11</v>
      </c>
      <c r="G64" s="8">
        <v>7.82</v>
      </c>
      <c r="H64" s="10">
        <f t="shared" si="0"/>
        <v>10</v>
      </c>
      <c r="I64" s="10">
        <f>YEAR(Sheet1!$A64)</f>
        <v>2024</v>
      </c>
      <c r="J64" s="10">
        <f>DAY(Sheet1!$A64)</f>
        <v>16</v>
      </c>
      <c r="K64" s="12" t="s">
        <v>2023</v>
      </c>
      <c r="L64" s="13" t="str">
        <f t="shared" si="1"/>
        <v>Regular Customer</v>
      </c>
    </row>
    <row r="65" spans="1:12" ht="15.75" customHeight="1" x14ac:dyDescent="0.3">
      <c r="A65" s="14">
        <v>45772</v>
      </c>
      <c r="B65" s="15" t="s">
        <v>1108</v>
      </c>
      <c r="C65" s="15" t="s">
        <v>8</v>
      </c>
      <c r="D65" s="15" t="s">
        <v>9</v>
      </c>
      <c r="E65" s="16">
        <v>7.93</v>
      </c>
      <c r="F65" s="15" t="s">
        <v>10</v>
      </c>
      <c r="G65" s="15">
        <v>7.93</v>
      </c>
      <c r="H65" s="17">
        <f t="shared" si="0"/>
        <v>4</v>
      </c>
      <c r="I65" s="17">
        <f>YEAR(Sheet1!$A65)</f>
        <v>2025</v>
      </c>
      <c r="J65" s="17">
        <f>DAY(Sheet1!$A65)</f>
        <v>25</v>
      </c>
      <c r="K65" s="18" t="s">
        <v>2022</v>
      </c>
      <c r="L65" s="19" t="str">
        <f t="shared" si="1"/>
        <v>Regular Customer</v>
      </c>
    </row>
    <row r="66" spans="1:12" ht="15.75" customHeight="1" x14ac:dyDescent="0.3">
      <c r="A66" s="7">
        <v>45543</v>
      </c>
      <c r="B66" s="8" t="s">
        <v>1013</v>
      </c>
      <c r="C66" s="8" t="s">
        <v>8</v>
      </c>
      <c r="D66" s="8" t="s">
        <v>16</v>
      </c>
      <c r="E66" s="9">
        <v>7.94</v>
      </c>
      <c r="F66" s="8" t="s">
        <v>11</v>
      </c>
      <c r="G66" s="8">
        <v>7.94</v>
      </c>
      <c r="H66" s="10">
        <f t="shared" ref="H66:H129" si="2">MONTH(A66)</f>
        <v>9</v>
      </c>
      <c r="I66" s="10">
        <f>YEAR(Sheet1!$A66)</f>
        <v>2024</v>
      </c>
      <c r="J66" s="10">
        <f>DAY(Sheet1!$A66)</f>
        <v>8</v>
      </c>
      <c r="K66" s="12" t="s">
        <v>2022</v>
      </c>
      <c r="L66" s="13" t="str">
        <f t="shared" ref="L66:L129" si="3">IF(G66&gt;50,"Premium Customer","Regular Customer")</f>
        <v>Regular Customer</v>
      </c>
    </row>
    <row r="67" spans="1:12" ht="15.75" customHeight="1" x14ac:dyDescent="0.3">
      <c r="A67" s="14">
        <v>45658</v>
      </c>
      <c r="B67" s="15" t="s">
        <v>665</v>
      </c>
      <c r="C67" s="15" t="s">
        <v>8</v>
      </c>
      <c r="D67" s="15" t="s">
        <v>14</v>
      </c>
      <c r="E67" s="16">
        <v>7.94</v>
      </c>
      <c r="F67" s="15" t="s">
        <v>11</v>
      </c>
      <c r="G67" s="15">
        <v>7.94</v>
      </c>
      <c r="H67" s="17">
        <f t="shared" si="2"/>
        <v>1</v>
      </c>
      <c r="I67" s="17">
        <f>YEAR(Sheet1!$A67)</f>
        <v>2025</v>
      </c>
      <c r="J67" s="17">
        <f>DAY(Sheet1!$A67)</f>
        <v>1</v>
      </c>
      <c r="K67" s="18" t="s">
        <v>2023</v>
      </c>
      <c r="L67" s="19" t="str">
        <f t="shared" si="3"/>
        <v>Regular Customer</v>
      </c>
    </row>
    <row r="68" spans="1:12" ht="15.75" customHeight="1" x14ac:dyDescent="0.3">
      <c r="A68" s="7">
        <v>45751</v>
      </c>
      <c r="B68" s="8" t="s">
        <v>1049</v>
      </c>
      <c r="C68" s="8" t="s">
        <v>24</v>
      </c>
      <c r="D68" s="8" t="s">
        <v>14</v>
      </c>
      <c r="E68" s="9">
        <v>7.96</v>
      </c>
      <c r="F68" s="8" t="s">
        <v>11</v>
      </c>
      <c r="G68" s="8">
        <v>7.96</v>
      </c>
      <c r="H68" s="10">
        <f t="shared" si="2"/>
        <v>4</v>
      </c>
      <c r="I68" s="10">
        <f>YEAR(Sheet1!$A68)</f>
        <v>2025</v>
      </c>
      <c r="J68" s="10">
        <f>DAY(Sheet1!$A68)</f>
        <v>4</v>
      </c>
      <c r="K68" s="12" t="s">
        <v>2022</v>
      </c>
      <c r="L68" s="13" t="str">
        <f t="shared" si="3"/>
        <v>Regular Customer</v>
      </c>
    </row>
    <row r="69" spans="1:12" ht="15.75" customHeight="1" x14ac:dyDescent="0.3">
      <c r="A69" s="14">
        <v>45668</v>
      </c>
      <c r="B69" s="15" t="s">
        <v>1045</v>
      </c>
      <c r="C69" s="15" t="s">
        <v>18</v>
      </c>
      <c r="D69" s="15" t="s">
        <v>14</v>
      </c>
      <c r="E69" s="16">
        <v>7.97</v>
      </c>
      <c r="F69" s="15" t="s">
        <v>11</v>
      </c>
      <c r="G69" s="15">
        <v>7.97</v>
      </c>
      <c r="H69" s="17">
        <f t="shared" si="2"/>
        <v>1</v>
      </c>
      <c r="I69" s="17">
        <f>YEAR(Sheet1!$A69)</f>
        <v>2025</v>
      </c>
      <c r="J69" s="17">
        <f>DAY(Sheet1!$A69)</f>
        <v>11</v>
      </c>
      <c r="K69" s="18" t="s">
        <v>2022</v>
      </c>
      <c r="L69" s="19" t="str">
        <f t="shared" si="3"/>
        <v>Regular Customer</v>
      </c>
    </row>
    <row r="70" spans="1:12" ht="15.75" customHeight="1" x14ac:dyDescent="0.3">
      <c r="A70" s="7">
        <v>45710</v>
      </c>
      <c r="B70" s="8" t="s">
        <v>723</v>
      </c>
      <c r="C70" s="8" t="s">
        <v>18</v>
      </c>
      <c r="D70" s="8" t="s">
        <v>19</v>
      </c>
      <c r="E70" s="9">
        <v>8.02</v>
      </c>
      <c r="F70" s="8" t="s">
        <v>11</v>
      </c>
      <c r="G70" s="8">
        <v>8.02</v>
      </c>
      <c r="H70" s="10">
        <f t="shared" si="2"/>
        <v>2</v>
      </c>
      <c r="I70" s="10">
        <f>YEAR(Sheet1!$A70)</f>
        <v>2025</v>
      </c>
      <c r="J70" s="10">
        <f>DAY(Sheet1!$A70)</f>
        <v>22</v>
      </c>
      <c r="K70" s="12" t="s">
        <v>2023</v>
      </c>
      <c r="L70" s="13" t="str">
        <f t="shared" si="3"/>
        <v>Regular Customer</v>
      </c>
    </row>
    <row r="71" spans="1:12" ht="15.75" customHeight="1" x14ac:dyDescent="0.3">
      <c r="A71" s="14">
        <v>45429</v>
      </c>
      <c r="B71" s="15" t="s">
        <v>1542</v>
      </c>
      <c r="C71" s="15" t="s">
        <v>24</v>
      </c>
      <c r="D71" s="15" t="s">
        <v>19</v>
      </c>
      <c r="E71" s="16">
        <v>8.0299999999999994</v>
      </c>
      <c r="F71" s="15" t="s">
        <v>10</v>
      </c>
      <c r="G71" s="15">
        <v>8.0299999999999994</v>
      </c>
      <c r="H71" s="17">
        <f t="shared" si="2"/>
        <v>5</v>
      </c>
      <c r="I71" s="17">
        <f>YEAR(Sheet1!$A71)</f>
        <v>2024</v>
      </c>
      <c r="J71" s="17">
        <f>DAY(Sheet1!$A71)</f>
        <v>17</v>
      </c>
      <c r="K71" s="18" t="s">
        <v>2023</v>
      </c>
      <c r="L71" s="19" t="str">
        <f t="shared" si="3"/>
        <v>Regular Customer</v>
      </c>
    </row>
    <row r="72" spans="1:12" ht="15.75" customHeight="1" x14ac:dyDescent="0.3">
      <c r="A72" s="7">
        <v>45509</v>
      </c>
      <c r="B72" s="8" t="s">
        <v>552</v>
      </c>
      <c r="C72" s="8" t="s">
        <v>13</v>
      </c>
      <c r="D72" s="8" t="s">
        <v>16</v>
      </c>
      <c r="E72" s="9">
        <v>8.08</v>
      </c>
      <c r="F72" s="8" t="s">
        <v>10</v>
      </c>
      <c r="G72" s="8">
        <v>8.08</v>
      </c>
      <c r="H72" s="10">
        <f t="shared" si="2"/>
        <v>8</v>
      </c>
      <c r="I72" s="10">
        <f>YEAR(Sheet1!$A72)</f>
        <v>2024</v>
      </c>
      <c r="J72" s="10">
        <f>DAY(Sheet1!$A72)</f>
        <v>5</v>
      </c>
      <c r="K72" s="12" t="s">
        <v>2022</v>
      </c>
      <c r="L72" s="13" t="str">
        <f t="shared" si="3"/>
        <v>Regular Customer</v>
      </c>
    </row>
    <row r="73" spans="1:12" ht="15.75" customHeight="1" x14ac:dyDescent="0.3">
      <c r="A73" s="14">
        <v>45743</v>
      </c>
      <c r="B73" s="15" t="s">
        <v>206</v>
      </c>
      <c r="C73" s="15" t="s">
        <v>8</v>
      </c>
      <c r="D73" s="15" t="s">
        <v>19</v>
      </c>
      <c r="E73" s="16">
        <v>8.17</v>
      </c>
      <c r="F73" s="15" t="s">
        <v>10</v>
      </c>
      <c r="G73" s="15">
        <v>8.17</v>
      </c>
      <c r="H73" s="17">
        <f t="shared" si="2"/>
        <v>3</v>
      </c>
      <c r="I73" s="17">
        <f>YEAR(Sheet1!$A73)</f>
        <v>2025</v>
      </c>
      <c r="J73" s="17">
        <f>DAY(Sheet1!$A73)</f>
        <v>27</v>
      </c>
      <c r="K73" s="18" t="s">
        <v>2022</v>
      </c>
      <c r="L73" s="19" t="str">
        <f t="shared" si="3"/>
        <v>Regular Customer</v>
      </c>
    </row>
    <row r="74" spans="1:12" ht="15.75" customHeight="1" x14ac:dyDescent="0.3">
      <c r="A74" s="7">
        <v>45553</v>
      </c>
      <c r="B74" s="8" t="s">
        <v>962</v>
      </c>
      <c r="C74" s="8" t="s">
        <v>24</v>
      </c>
      <c r="D74" s="8" t="s">
        <v>19</v>
      </c>
      <c r="E74" s="9">
        <v>8.19</v>
      </c>
      <c r="F74" s="8" t="s">
        <v>11</v>
      </c>
      <c r="G74" s="8">
        <v>8.19</v>
      </c>
      <c r="H74" s="10">
        <f t="shared" si="2"/>
        <v>9</v>
      </c>
      <c r="I74" s="10">
        <f>YEAR(Sheet1!$A74)</f>
        <v>2024</v>
      </c>
      <c r="J74" s="10">
        <f>DAY(Sheet1!$A74)</f>
        <v>18</v>
      </c>
      <c r="K74" s="12" t="s">
        <v>2022</v>
      </c>
      <c r="L74" s="13" t="str">
        <f t="shared" si="3"/>
        <v>Regular Customer</v>
      </c>
    </row>
    <row r="75" spans="1:12" ht="15.75" customHeight="1" x14ac:dyDescent="0.3">
      <c r="A75" s="14">
        <v>45506</v>
      </c>
      <c r="B75" s="15" t="s">
        <v>1735</v>
      </c>
      <c r="C75" s="15" t="s">
        <v>24</v>
      </c>
      <c r="D75" s="15" t="s">
        <v>16</v>
      </c>
      <c r="E75" s="16">
        <v>8.24</v>
      </c>
      <c r="F75" s="15" t="s">
        <v>10</v>
      </c>
      <c r="G75" s="15">
        <v>8.24</v>
      </c>
      <c r="H75" s="17">
        <f t="shared" si="2"/>
        <v>8</v>
      </c>
      <c r="I75" s="17">
        <f>YEAR(Sheet1!$A75)</f>
        <v>2024</v>
      </c>
      <c r="J75" s="17">
        <f>DAY(Sheet1!$A75)</f>
        <v>2</v>
      </c>
      <c r="K75" s="18" t="s">
        <v>2022</v>
      </c>
      <c r="L75" s="19" t="str">
        <f t="shared" si="3"/>
        <v>Regular Customer</v>
      </c>
    </row>
    <row r="76" spans="1:12" ht="15.75" customHeight="1" x14ac:dyDescent="0.3">
      <c r="A76" s="7">
        <v>45761</v>
      </c>
      <c r="B76" s="8" t="s">
        <v>1620</v>
      </c>
      <c r="C76" s="8" t="s">
        <v>24</v>
      </c>
      <c r="D76" s="8" t="s">
        <v>9</v>
      </c>
      <c r="E76" s="9">
        <v>8.2799999999999994</v>
      </c>
      <c r="F76" s="8" t="s">
        <v>11</v>
      </c>
      <c r="G76" s="8">
        <v>8.2799999999999994</v>
      </c>
      <c r="H76" s="10">
        <f t="shared" si="2"/>
        <v>4</v>
      </c>
      <c r="I76" s="10">
        <f>YEAR(Sheet1!$A76)</f>
        <v>2025</v>
      </c>
      <c r="J76" s="10">
        <f>DAY(Sheet1!$A76)</f>
        <v>14</v>
      </c>
      <c r="K76" s="12" t="s">
        <v>2022</v>
      </c>
      <c r="L76" s="13" t="str">
        <f t="shared" si="3"/>
        <v>Regular Customer</v>
      </c>
    </row>
    <row r="77" spans="1:12" ht="15.75" customHeight="1" x14ac:dyDescent="0.3">
      <c r="A77" s="14">
        <v>45441</v>
      </c>
      <c r="B77" s="15" t="s">
        <v>225</v>
      </c>
      <c r="C77" s="15" t="s">
        <v>24</v>
      </c>
      <c r="D77" s="15" t="s">
        <v>19</v>
      </c>
      <c r="E77" s="16">
        <v>8.32</v>
      </c>
      <c r="F77" s="15" t="s">
        <v>10</v>
      </c>
      <c r="G77" s="15">
        <v>8.32</v>
      </c>
      <c r="H77" s="17">
        <f t="shared" si="2"/>
        <v>5</v>
      </c>
      <c r="I77" s="17">
        <f>YEAR(Sheet1!$A77)</f>
        <v>2024</v>
      </c>
      <c r="J77" s="17">
        <f>DAY(Sheet1!$A77)</f>
        <v>29</v>
      </c>
      <c r="K77" s="18" t="s">
        <v>2022</v>
      </c>
      <c r="L77" s="19" t="str">
        <f t="shared" si="3"/>
        <v>Regular Customer</v>
      </c>
    </row>
    <row r="78" spans="1:12" ht="15.75" customHeight="1" x14ac:dyDescent="0.3">
      <c r="A78" s="7">
        <v>45651</v>
      </c>
      <c r="B78" s="8" t="s">
        <v>620</v>
      </c>
      <c r="C78" s="8" t="s">
        <v>8</v>
      </c>
      <c r="D78" s="8" t="s">
        <v>19</v>
      </c>
      <c r="E78" s="9">
        <v>8.34</v>
      </c>
      <c r="F78" s="8" t="s">
        <v>11</v>
      </c>
      <c r="G78" s="8">
        <v>8.34</v>
      </c>
      <c r="H78" s="10">
        <f t="shared" si="2"/>
        <v>12</v>
      </c>
      <c r="I78" s="10">
        <f>YEAR(Sheet1!$A78)</f>
        <v>2024</v>
      </c>
      <c r="J78" s="10">
        <f>DAY(Sheet1!$A78)</f>
        <v>25</v>
      </c>
      <c r="K78" s="12" t="s">
        <v>2023</v>
      </c>
      <c r="L78" s="13" t="str">
        <f t="shared" si="3"/>
        <v>Regular Customer</v>
      </c>
    </row>
    <row r="79" spans="1:12" ht="15.75" customHeight="1" x14ac:dyDescent="0.3">
      <c r="A79" s="14">
        <v>45505</v>
      </c>
      <c r="B79" s="15" t="s">
        <v>167</v>
      </c>
      <c r="C79" s="15" t="s">
        <v>24</v>
      </c>
      <c r="D79" s="15" t="s">
        <v>14</v>
      </c>
      <c r="E79" s="16">
        <v>8.3800000000000008</v>
      </c>
      <c r="F79" s="15" t="s">
        <v>10</v>
      </c>
      <c r="G79" s="15">
        <v>8.3800000000000008</v>
      </c>
      <c r="H79" s="17">
        <f t="shared" si="2"/>
        <v>8</v>
      </c>
      <c r="I79" s="17">
        <f>YEAR(Sheet1!$A79)</f>
        <v>2024</v>
      </c>
      <c r="J79" s="17">
        <f>DAY(Sheet1!$A79)</f>
        <v>1</v>
      </c>
      <c r="K79" s="18" t="s">
        <v>2023</v>
      </c>
      <c r="L79" s="19" t="str">
        <f t="shared" si="3"/>
        <v>Regular Customer</v>
      </c>
    </row>
    <row r="80" spans="1:12" ht="15.75" customHeight="1" x14ac:dyDescent="0.3">
      <c r="A80" s="7">
        <v>45657</v>
      </c>
      <c r="B80" s="8" t="s">
        <v>1188</v>
      </c>
      <c r="C80" s="8" t="s">
        <v>24</v>
      </c>
      <c r="D80" s="8" t="s">
        <v>9</v>
      </c>
      <c r="E80" s="9">
        <v>8.3800000000000008</v>
      </c>
      <c r="F80" s="8" t="s">
        <v>10</v>
      </c>
      <c r="G80" s="8">
        <v>8.3800000000000008</v>
      </c>
      <c r="H80" s="10">
        <f t="shared" si="2"/>
        <v>12</v>
      </c>
      <c r="I80" s="10">
        <f>YEAR(Sheet1!$A80)</f>
        <v>2024</v>
      </c>
      <c r="J80" s="10">
        <f>DAY(Sheet1!$A80)</f>
        <v>31</v>
      </c>
      <c r="K80" s="12" t="s">
        <v>2022</v>
      </c>
      <c r="L80" s="13" t="str">
        <f t="shared" si="3"/>
        <v>Regular Customer</v>
      </c>
    </row>
    <row r="81" spans="1:12" ht="15.75" customHeight="1" x14ac:dyDescent="0.3">
      <c r="A81" s="14">
        <v>45611</v>
      </c>
      <c r="B81" s="15" t="s">
        <v>1867</v>
      </c>
      <c r="C81" s="15" t="s">
        <v>24</v>
      </c>
      <c r="D81" s="15" t="s">
        <v>19</v>
      </c>
      <c r="E81" s="16">
        <v>8.42</v>
      </c>
      <c r="F81" s="15" t="s">
        <v>11</v>
      </c>
      <c r="G81" s="15">
        <v>8.42</v>
      </c>
      <c r="H81" s="17">
        <f t="shared" si="2"/>
        <v>11</v>
      </c>
      <c r="I81" s="17">
        <f>YEAR(Sheet1!$A81)</f>
        <v>2024</v>
      </c>
      <c r="J81" s="17">
        <f>DAY(Sheet1!$A81)</f>
        <v>15</v>
      </c>
      <c r="K81" s="18" t="s">
        <v>2022</v>
      </c>
      <c r="L81" s="19" t="str">
        <f t="shared" si="3"/>
        <v>Regular Customer</v>
      </c>
    </row>
    <row r="82" spans="1:12" ht="15.75" customHeight="1" x14ac:dyDescent="0.3">
      <c r="A82" s="7">
        <v>45622</v>
      </c>
      <c r="B82" s="8" t="s">
        <v>554</v>
      </c>
      <c r="C82" s="8" t="s">
        <v>24</v>
      </c>
      <c r="D82" s="8" t="s">
        <v>19</v>
      </c>
      <c r="E82" s="9">
        <v>8.51</v>
      </c>
      <c r="F82" s="8" t="s">
        <v>10</v>
      </c>
      <c r="G82" s="8">
        <v>8.51</v>
      </c>
      <c r="H82" s="10">
        <f t="shared" si="2"/>
        <v>11</v>
      </c>
      <c r="I82" s="10">
        <f>YEAR(Sheet1!$A82)</f>
        <v>2024</v>
      </c>
      <c r="J82" s="10">
        <f>DAY(Sheet1!$A82)</f>
        <v>26</v>
      </c>
      <c r="K82" s="12" t="s">
        <v>2023</v>
      </c>
      <c r="L82" s="13" t="str">
        <f t="shared" si="3"/>
        <v>Regular Customer</v>
      </c>
    </row>
    <row r="83" spans="1:12" ht="15.75" customHeight="1" x14ac:dyDescent="0.3">
      <c r="A83" s="14">
        <v>45426</v>
      </c>
      <c r="B83" s="15" t="s">
        <v>131</v>
      </c>
      <c r="C83" s="15" t="s">
        <v>24</v>
      </c>
      <c r="D83" s="15" t="s">
        <v>14</v>
      </c>
      <c r="E83" s="16">
        <v>8.65</v>
      </c>
      <c r="F83" s="15" t="s">
        <v>10</v>
      </c>
      <c r="G83" s="15">
        <v>8.65</v>
      </c>
      <c r="H83" s="17">
        <f t="shared" si="2"/>
        <v>5</v>
      </c>
      <c r="I83" s="17">
        <f>YEAR(Sheet1!$A83)</f>
        <v>2024</v>
      </c>
      <c r="J83" s="17">
        <f>DAY(Sheet1!$A83)</f>
        <v>14</v>
      </c>
      <c r="K83" s="18" t="s">
        <v>2022</v>
      </c>
      <c r="L83" s="19" t="str">
        <f t="shared" si="3"/>
        <v>Regular Customer</v>
      </c>
    </row>
    <row r="84" spans="1:12" ht="15.75" customHeight="1" x14ac:dyDescent="0.3">
      <c r="A84" s="7">
        <v>45664</v>
      </c>
      <c r="B84" s="8" t="s">
        <v>1826</v>
      </c>
      <c r="C84" s="8" t="s">
        <v>24</v>
      </c>
      <c r="D84" s="8" t="s">
        <v>14</v>
      </c>
      <c r="E84" s="9">
        <v>8.65</v>
      </c>
      <c r="F84" s="8" t="s">
        <v>11</v>
      </c>
      <c r="G84" s="8">
        <v>8.65</v>
      </c>
      <c r="H84" s="10">
        <f t="shared" si="2"/>
        <v>1</v>
      </c>
      <c r="I84" s="10">
        <f>YEAR(Sheet1!$A84)</f>
        <v>2025</v>
      </c>
      <c r="J84" s="10">
        <f>DAY(Sheet1!$A84)</f>
        <v>7</v>
      </c>
      <c r="K84" s="12" t="s">
        <v>2023</v>
      </c>
      <c r="L84" s="13" t="str">
        <f t="shared" si="3"/>
        <v>Regular Customer</v>
      </c>
    </row>
    <row r="85" spans="1:12" ht="15.75" customHeight="1" x14ac:dyDescent="0.3">
      <c r="A85" s="14">
        <v>45413</v>
      </c>
      <c r="B85" s="15" t="s">
        <v>1731</v>
      </c>
      <c r="C85" s="15" t="s">
        <v>18</v>
      </c>
      <c r="D85" s="15" t="s">
        <v>9</v>
      </c>
      <c r="E85" s="16">
        <v>8.7200000000000006</v>
      </c>
      <c r="F85" s="15" t="s">
        <v>11</v>
      </c>
      <c r="G85" s="15">
        <v>8.7200000000000006</v>
      </c>
      <c r="H85" s="17">
        <f t="shared" si="2"/>
        <v>5</v>
      </c>
      <c r="I85" s="17">
        <f>YEAR(Sheet1!$A85)</f>
        <v>2024</v>
      </c>
      <c r="J85" s="17">
        <f>DAY(Sheet1!$A85)</f>
        <v>1</v>
      </c>
      <c r="K85" s="18" t="s">
        <v>2022</v>
      </c>
      <c r="L85" s="19" t="str">
        <f t="shared" si="3"/>
        <v>Regular Customer</v>
      </c>
    </row>
    <row r="86" spans="1:12" ht="15.75" customHeight="1" x14ac:dyDescent="0.3">
      <c r="A86" s="7">
        <v>45610</v>
      </c>
      <c r="B86" s="8" t="s">
        <v>444</v>
      </c>
      <c r="C86" s="8" t="s">
        <v>24</v>
      </c>
      <c r="D86" s="8" t="s">
        <v>9</v>
      </c>
      <c r="E86" s="9">
        <v>8.74</v>
      </c>
      <c r="F86" s="8" t="s">
        <v>10</v>
      </c>
      <c r="G86" s="8">
        <v>8.74</v>
      </c>
      <c r="H86" s="10">
        <f t="shared" si="2"/>
        <v>11</v>
      </c>
      <c r="I86" s="10">
        <f>YEAR(Sheet1!$A86)</f>
        <v>2024</v>
      </c>
      <c r="J86" s="10">
        <f>DAY(Sheet1!$A86)</f>
        <v>14</v>
      </c>
      <c r="K86" s="12" t="s">
        <v>2022</v>
      </c>
      <c r="L86" s="13" t="str">
        <f t="shared" si="3"/>
        <v>Regular Customer</v>
      </c>
    </row>
    <row r="87" spans="1:12" ht="15.75" customHeight="1" x14ac:dyDescent="0.3">
      <c r="A87" s="14">
        <v>45768</v>
      </c>
      <c r="B87" s="15" t="s">
        <v>1147</v>
      </c>
      <c r="C87" s="15" t="s">
        <v>24</v>
      </c>
      <c r="D87" s="15" t="s">
        <v>9</v>
      </c>
      <c r="E87" s="16">
        <v>8.82</v>
      </c>
      <c r="F87" s="15" t="s">
        <v>11</v>
      </c>
      <c r="G87" s="15">
        <v>8.82</v>
      </c>
      <c r="H87" s="17">
        <f t="shared" si="2"/>
        <v>4</v>
      </c>
      <c r="I87" s="17">
        <f>YEAR(Sheet1!$A87)</f>
        <v>2025</v>
      </c>
      <c r="J87" s="17">
        <f>DAY(Sheet1!$A87)</f>
        <v>21</v>
      </c>
      <c r="K87" s="18" t="s">
        <v>2023</v>
      </c>
      <c r="L87" s="19" t="str">
        <f t="shared" si="3"/>
        <v>Regular Customer</v>
      </c>
    </row>
    <row r="88" spans="1:12" ht="15.75" customHeight="1" x14ac:dyDescent="0.3">
      <c r="A88" s="7">
        <v>45627</v>
      </c>
      <c r="B88" s="8" t="s">
        <v>1802</v>
      </c>
      <c r="C88" s="8" t="s">
        <v>8</v>
      </c>
      <c r="D88" s="8" t="s">
        <v>14</v>
      </c>
      <c r="E88" s="9">
        <v>8.9</v>
      </c>
      <c r="F88" s="8" t="s">
        <v>10</v>
      </c>
      <c r="G88" s="8">
        <v>8.9</v>
      </c>
      <c r="H88" s="10">
        <f t="shared" si="2"/>
        <v>12</v>
      </c>
      <c r="I88" s="10">
        <f>YEAR(Sheet1!$A88)</f>
        <v>2024</v>
      </c>
      <c r="J88" s="10">
        <f>DAY(Sheet1!$A88)</f>
        <v>1</v>
      </c>
      <c r="K88" s="12" t="s">
        <v>2022</v>
      </c>
      <c r="L88" s="13" t="str">
        <f t="shared" si="3"/>
        <v>Regular Customer</v>
      </c>
    </row>
    <row r="89" spans="1:12" ht="15.75" customHeight="1" x14ac:dyDescent="0.3">
      <c r="A89" s="14">
        <v>45552</v>
      </c>
      <c r="B89" s="15" t="s">
        <v>1065</v>
      </c>
      <c r="C89" s="15" t="s">
        <v>8</v>
      </c>
      <c r="D89" s="15" t="s">
        <v>19</v>
      </c>
      <c r="E89" s="16">
        <v>8.94</v>
      </c>
      <c r="F89" s="15" t="s">
        <v>11</v>
      </c>
      <c r="G89" s="15">
        <v>8.94</v>
      </c>
      <c r="H89" s="17">
        <f t="shared" si="2"/>
        <v>9</v>
      </c>
      <c r="I89" s="17">
        <f>YEAR(Sheet1!$A89)</f>
        <v>2024</v>
      </c>
      <c r="J89" s="17">
        <f>DAY(Sheet1!$A89)</f>
        <v>17</v>
      </c>
      <c r="K89" s="18" t="s">
        <v>2022</v>
      </c>
      <c r="L89" s="19" t="str">
        <f t="shared" si="3"/>
        <v>Regular Customer</v>
      </c>
    </row>
    <row r="90" spans="1:12" ht="15.75" customHeight="1" x14ac:dyDescent="0.3">
      <c r="A90" s="7">
        <v>45743</v>
      </c>
      <c r="B90" s="8" t="s">
        <v>435</v>
      </c>
      <c r="C90" s="8" t="s">
        <v>18</v>
      </c>
      <c r="D90" s="8" t="s">
        <v>16</v>
      </c>
      <c r="E90" s="9">
        <v>8.9499999999999993</v>
      </c>
      <c r="F90" s="8" t="s">
        <v>11</v>
      </c>
      <c r="G90" s="8">
        <v>8.9499999999999993</v>
      </c>
      <c r="H90" s="10">
        <f t="shared" si="2"/>
        <v>3</v>
      </c>
      <c r="I90" s="10">
        <f>YEAR(Sheet1!$A90)</f>
        <v>2025</v>
      </c>
      <c r="J90" s="10">
        <f>DAY(Sheet1!$A90)</f>
        <v>27</v>
      </c>
      <c r="K90" s="12" t="s">
        <v>2023</v>
      </c>
      <c r="L90" s="13" t="str">
        <f t="shared" si="3"/>
        <v>Regular Customer</v>
      </c>
    </row>
    <row r="91" spans="1:12" ht="15.75" customHeight="1" x14ac:dyDescent="0.3">
      <c r="A91" s="14">
        <v>45437</v>
      </c>
      <c r="B91" s="15" t="s">
        <v>1643</v>
      </c>
      <c r="C91" s="15" t="s">
        <v>8</v>
      </c>
      <c r="D91" s="15" t="s">
        <v>9</v>
      </c>
      <c r="E91" s="16">
        <v>9.06</v>
      </c>
      <c r="F91" s="15" t="s">
        <v>10</v>
      </c>
      <c r="G91" s="15">
        <v>9.06</v>
      </c>
      <c r="H91" s="17">
        <f t="shared" si="2"/>
        <v>5</v>
      </c>
      <c r="I91" s="17">
        <f>YEAR(Sheet1!$A91)</f>
        <v>2024</v>
      </c>
      <c r="J91" s="17">
        <f>DAY(Sheet1!$A91)</f>
        <v>25</v>
      </c>
      <c r="K91" s="18" t="s">
        <v>2023</v>
      </c>
      <c r="L91" s="19" t="str">
        <f t="shared" si="3"/>
        <v>Regular Customer</v>
      </c>
    </row>
    <row r="92" spans="1:12" ht="15.75" customHeight="1" x14ac:dyDescent="0.3">
      <c r="A92" s="7">
        <v>45722</v>
      </c>
      <c r="B92" s="8" t="s">
        <v>605</v>
      </c>
      <c r="C92" s="8" t="s">
        <v>18</v>
      </c>
      <c r="D92" s="8" t="s">
        <v>9</v>
      </c>
      <c r="E92" s="9">
        <v>9.08</v>
      </c>
      <c r="F92" s="8" t="s">
        <v>11</v>
      </c>
      <c r="G92" s="8">
        <v>9.08</v>
      </c>
      <c r="H92" s="10">
        <f t="shared" si="2"/>
        <v>3</v>
      </c>
      <c r="I92" s="10">
        <f>YEAR(Sheet1!$A92)</f>
        <v>2025</v>
      </c>
      <c r="J92" s="10">
        <f>DAY(Sheet1!$A92)</f>
        <v>6</v>
      </c>
      <c r="K92" s="12" t="s">
        <v>2023</v>
      </c>
      <c r="L92" s="13" t="str">
        <f t="shared" si="3"/>
        <v>Regular Customer</v>
      </c>
    </row>
    <row r="93" spans="1:12" ht="15.75" customHeight="1" x14ac:dyDescent="0.3">
      <c r="A93" s="14">
        <v>45727</v>
      </c>
      <c r="B93" s="15" t="s">
        <v>479</v>
      </c>
      <c r="C93" s="15" t="s">
        <v>8</v>
      </c>
      <c r="D93" s="15" t="s">
        <v>16</v>
      </c>
      <c r="E93" s="16">
        <v>9.11</v>
      </c>
      <c r="F93" s="15" t="s">
        <v>10</v>
      </c>
      <c r="G93" s="15">
        <v>9.11</v>
      </c>
      <c r="H93" s="17">
        <f t="shared" si="2"/>
        <v>3</v>
      </c>
      <c r="I93" s="17">
        <f>YEAR(Sheet1!$A93)</f>
        <v>2025</v>
      </c>
      <c r="J93" s="17">
        <f>DAY(Sheet1!$A93)</f>
        <v>11</v>
      </c>
      <c r="K93" s="18" t="s">
        <v>2023</v>
      </c>
      <c r="L93" s="19" t="str">
        <f t="shared" si="3"/>
        <v>Regular Customer</v>
      </c>
    </row>
    <row r="94" spans="1:12" ht="15.75" customHeight="1" x14ac:dyDescent="0.3">
      <c r="A94" s="7">
        <v>45479</v>
      </c>
      <c r="B94" s="8" t="s">
        <v>1320</v>
      </c>
      <c r="C94" s="8" t="s">
        <v>13</v>
      </c>
      <c r="D94" s="8" t="s">
        <v>19</v>
      </c>
      <c r="E94" s="9">
        <v>9.1199999999999992</v>
      </c>
      <c r="F94" s="8" t="s">
        <v>11</v>
      </c>
      <c r="G94" s="8">
        <v>9.1199999999999992</v>
      </c>
      <c r="H94" s="10">
        <f t="shared" si="2"/>
        <v>7</v>
      </c>
      <c r="I94" s="10">
        <f>YEAR(Sheet1!$A94)</f>
        <v>2024</v>
      </c>
      <c r="J94" s="10">
        <f>DAY(Sheet1!$A94)</f>
        <v>6</v>
      </c>
      <c r="K94" s="12" t="s">
        <v>2022</v>
      </c>
      <c r="L94" s="13" t="str">
        <f t="shared" si="3"/>
        <v>Regular Customer</v>
      </c>
    </row>
    <row r="95" spans="1:12" ht="15.75" customHeight="1" x14ac:dyDescent="0.3">
      <c r="A95" s="14">
        <v>45760</v>
      </c>
      <c r="B95" s="15" t="s">
        <v>1622</v>
      </c>
      <c r="C95" s="15" t="s">
        <v>8</v>
      </c>
      <c r="D95" s="15" t="s">
        <v>9</v>
      </c>
      <c r="E95" s="16">
        <v>9.1300000000000008</v>
      </c>
      <c r="F95" s="15" t="s">
        <v>10</v>
      </c>
      <c r="G95" s="15">
        <v>9.1300000000000008</v>
      </c>
      <c r="H95" s="17">
        <f t="shared" si="2"/>
        <v>4</v>
      </c>
      <c r="I95" s="17">
        <f>YEAR(Sheet1!$A95)</f>
        <v>2025</v>
      </c>
      <c r="J95" s="17">
        <f>DAY(Sheet1!$A95)</f>
        <v>13</v>
      </c>
      <c r="K95" s="18" t="s">
        <v>2023</v>
      </c>
      <c r="L95" s="19" t="str">
        <f t="shared" si="3"/>
        <v>Regular Customer</v>
      </c>
    </row>
    <row r="96" spans="1:12" ht="15.75" customHeight="1" x14ac:dyDescent="0.3">
      <c r="A96" s="7">
        <v>45534</v>
      </c>
      <c r="B96" s="8" t="s">
        <v>1910</v>
      </c>
      <c r="C96" s="8" t="s">
        <v>24</v>
      </c>
      <c r="D96" s="8" t="s">
        <v>19</v>
      </c>
      <c r="E96" s="9">
        <v>9.17</v>
      </c>
      <c r="F96" s="8" t="s">
        <v>10</v>
      </c>
      <c r="G96" s="8">
        <v>9.17</v>
      </c>
      <c r="H96" s="10">
        <f t="shared" si="2"/>
        <v>8</v>
      </c>
      <c r="I96" s="10">
        <f>YEAR(Sheet1!$A96)</f>
        <v>2024</v>
      </c>
      <c r="J96" s="10">
        <f>DAY(Sheet1!$A96)</f>
        <v>30</v>
      </c>
      <c r="K96" s="12" t="s">
        <v>2023</v>
      </c>
      <c r="L96" s="13" t="str">
        <f t="shared" si="3"/>
        <v>Regular Customer</v>
      </c>
    </row>
    <row r="97" spans="1:12" ht="15.75" customHeight="1" x14ac:dyDescent="0.3">
      <c r="A97" s="14">
        <v>45429</v>
      </c>
      <c r="B97" s="15" t="s">
        <v>1847</v>
      </c>
      <c r="C97" s="15" t="s">
        <v>13</v>
      </c>
      <c r="D97" s="15" t="s">
        <v>16</v>
      </c>
      <c r="E97" s="16">
        <v>9.32</v>
      </c>
      <c r="F97" s="15" t="s">
        <v>10</v>
      </c>
      <c r="G97" s="15">
        <v>9.32</v>
      </c>
      <c r="H97" s="17">
        <f t="shared" si="2"/>
        <v>5</v>
      </c>
      <c r="I97" s="17">
        <f>YEAR(Sheet1!$A97)</f>
        <v>2024</v>
      </c>
      <c r="J97" s="17">
        <f>DAY(Sheet1!$A97)</f>
        <v>17</v>
      </c>
      <c r="K97" s="18" t="s">
        <v>2023</v>
      </c>
      <c r="L97" s="19" t="str">
        <f t="shared" si="3"/>
        <v>Regular Customer</v>
      </c>
    </row>
    <row r="98" spans="1:12" ht="15.75" customHeight="1" x14ac:dyDescent="0.3">
      <c r="A98" s="7">
        <v>45515</v>
      </c>
      <c r="B98" s="8" t="s">
        <v>1290</v>
      </c>
      <c r="C98" s="8" t="s">
        <v>13</v>
      </c>
      <c r="D98" s="8" t="s">
        <v>16</v>
      </c>
      <c r="E98" s="9">
        <v>9.34</v>
      </c>
      <c r="F98" s="8" t="s">
        <v>11</v>
      </c>
      <c r="G98" s="8">
        <v>9.34</v>
      </c>
      <c r="H98" s="10">
        <f t="shared" si="2"/>
        <v>8</v>
      </c>
      <c r="I98" s="10">
        <f>YEAR(Sheet1!$A98)</f>
        <v>2024</v>
      </c>
      <c r="J98" s="10">
        <f>DAY(Sheet1!$A98)</f>
        <v>11</v>
      </c>
      <c r="K98" s="12" t="s">
        <v>2022</v>
      </c>
      <c r="L98" s="13" t="str">
        <f t="shared" si="3"/>
        <v>Regular Customer</v>
      </c>
    </row>
    <row r="99" spans="1:12" ht="15.75" customHeight="1" x14ac:dyDescent="0.3">
      <c r="A99" s="14">
        <v>45622</v>
      </c>
      <c r="B99" s="15" t="s">
        <v>1525</v>
      </c>
      <c r="C99" s="15" t="s">
        <v>13</v>
      </c>
      <c r="D99" s="15" t="s">
        <v>14</v>
      </c>
      <c r="E99" s="16">
        <v>9.34</v>
      </c>
      <c r="F99" s="15" t="s">
        <v>11</v>
      </c>
      <c r="G99" s="15">
        <v>9.34</v>
      </c>
      <c r="H99" s="17">
        <f t="shared" si="2"/>
        <v>11</v>
      </c>
      <c r="I99" s="17">
        <f>YEAR(Sheet1!$A99)</f>
        <v>2024</v>
      </c>
      <c r="J99" s="17">
        <f>DAY(Sheet1!$A99)</f>
        <v>26</v>
      </c>
      <c r="K99" s="18" t="s">
        <v>2023</v>
      </c>
      <c r="L99" s="19" t="str">
        <f t="shared" si="3"/>
        <v>Regular Customer</v>
      </c>
    </row>
    <row r="100" spans="1:12" ht="15.75" customHeight="1" x14ac:dyDescent="0.3">
      <c r="A100" s="7">
        <v>45530</v>
      </c>
      <c r="B100" s="8" t="s">
        <v>1094</v>
      </c>
      <c r="C100" s="8" t="s">
        <v>18</v>
      </c>
      <c r="D100" s="8" t="s">
        <v>19</v>
      </c>
      <c r="E100" s="9">
        <v>9.3699999999999992</v>
      </c>
      <c r="F100" s="8" t="s">
        <v>10</v>
      </c>
      <c r="G100" s="8">
        <v>9.3699999999999992</v>
      </c>
      <c r="H100" s="10">
        <f t="shared" si="2"/>
        <v>8</v>
      </c>
      <c r="I100" s="10">
        <f>YEAR(Sheet1!$A100)</f>
        <v>2024</v>
      </c>
      <c r="J100" s="10">
        <f>DAY(Sheet1!$A100)</f>
        <v>26</v>
      </c>
      <c r="K100" s="12" t="s">
        <v>2022</v>
      </c>
      <c r="L100" s="13" t="str">
        <f t="shared" si="3"/>
        <v>Regular Customer</v>
      </c>
    </row>
    <row r="101" spans="1:12" ht="15.75" customHeight="1" x14ac:dyDescent="0.3">
      <c r="A101" s="14">
        <v>45600</v>
      </c>
      <c r="B101" s="15" t="s">
        <v>1309</v>
      </c>
      <c r="C101" s="15" t="s">
        <v>13</v>
      </c>
      <c r="D101" s="15" t="s">
        <v>19</v>
      </c>
      <c r="E101" s="16">
        <v>9.39</v>
      </c>
      <c r="F101" s="15" t="s">
        <v>10</v>
      </c>
      <c r="G101" s="15">
        <v>9.39</v>
      </c>
      <c r="H101" s="17">
        <f t="shared" si="2"/>
        <v>11</v>
      </c>
      <c r="I101" s="17">
        <f>YEAR(Sheet1!$A101)</f>
        <v>2024</v>
      </c>
      <c r="J101" s="17">
        <f>DAY(Sheet1!$A101)</f>
        <v>4</v>
      </c>
      <c r="K101" s="18" t="s">
        <v>2023</v>
      </c>
      <c r="L101" s="19" t="str">
        <f t="shared" si="3"/>
        <v>Regular Customer</v>
      </c>
    </row>
    <row r="102" spans="1:12" ht="15.75" customHeight="1" x14ac:dyDescent="0.3">
      <c r="A102" s="7">
        <v>45502</v>
      </c>
      <c r="B102" s="8" t="s">
        <v>1881</v>
      </c>
      <c r="C102" s="8" t="s">
        <v>13</v>
      </c>
      <c r="D102" s="8" t="s">
        <v>16</v>
      </c>
      <c r="E102" s="9">
        <v>9.4700000000000006</v>
      </c>
      <c r="F102" s="8" t="s">
        <v>11</v>
      </c>
      <c r="G102" s="8">
        <v>9.4700000000000006</v>
      </c>
      <c r="H102" s="10">
        <f t="shared" si="2"/>
        <v>7</v>
      </c>
      <c r="I102" s="10">
        <f>YEAR(Sheet1!$A102)</f>
        <v>2024</v>
      </c>
      <c r="J102" s="10">
        <f>DAY(Sheet1!$A102)</f>
        <v>29</v>
      </c>
      <c r="K102" s="12" t="s">
        <v>2023</v>
      </c>
      <c r="L102" s="13" t="str">
        <f t="shared" si="3"/>
        <v>Regular Customer</v>
      </c>
    </row>
    <row r="103" spans="1:12" ht="15.75" customHeight="1" x14ac:dyDescent="0.3">
      <c r="A103" s="14">
        <v>45507</v>
      </c>
      <c r="B103" s="15" t="s">
        <v>1988</v>
      </c>
      <c r="C103" s="15" t="s">
        <v>24</v>
      </c>
      <c r="D103" s="15" t="s">
        <v>14</v>
      </c>
      <c r="E103" s="16">
        <v>9.49</v>
      </c>
      <c r="F103" s="15" t="s">
        <v>11</v>
      </c>
      <c r="G103" s="15">
        <v>9.49</v>
      </c>
      <c r="H103" s="17">
        <f t="shared" si="2"/>
        <v>8</v>
      </c>
      <c r="I103" s="17">
        <f>YEAR(Sheet1!$A103)</f>
        <v>2024</v>
      </c>
      <c r="J103" s="17">
        <f>DAY(Sheet1!$A103)</f>
        <v>3</v>
      </c>
      <c r="K103" s="18" t="s">
        <v>2022</v>
      </c>
      <c r="L103" s="19" t="str">
        <f t="shared" si="3"/>
        <v>Regular Customer</v>
      </c>
    </row>
    <row r="104" spans="1:12" ht="15.75" customHeight="1" x14ac:dyDescent="0.3">
      <c r="A104" s="7">
        <v>45611</v>
      </c>
      <c r="B104" s="8" t="s">
        <v>505</v>
      </c>
      <c r="C104" s="8" t="s">
        <v>18</v>
      </c>
      <c r="D104" s="8" t="s">
        <v>19</v>
      </c>
      <c r="E104" s="9">
        <v>9.49</v>
      </c>
      <c r="F104" s="8" t="s">
        <v>11</v>
      </c>
      <c r="G104" s="8">
        <v>9.49</v>
      </c>
      <c r="H104" s="10">
        <f t="shared" si="2"/>
        <v>11</v>
      </c>
      <c r="I104" s="10">
        <f>YEAR(Sheet1!$A104)</f>
        <v>2024</v>
      </c>
      <c r="J104" s="10">
        <f>DAY(Sheet1!$A104)</f>
        <v>15</v>
      </c>
      <c r="K104" s="12" t="s">
        <v>2023</v>
      </c>
      <c r="L104" s="13" t="str">
        <f t="shared" si="3"/>
        <v>Regular Customer</v>
      </c>
    </row>
    <row r="105" spans="1:12" ht="15.75" customHeight="1" x14ac:dyDescent="0.3">
      <c r="A105" s="14">
        <v>45422</v>
      </c>
      <c r="B105" s="15" t="s">
        <v>1899</v>
      </c>
      <c r="C105" s="15" t="s">
        <v>18</v>
      </c>
      <c r="D105" s="15" t="s">
        <v>16</v>
      </c>
      <c r="E105" s="16">
        <v>9.5500000000000007</v>
      </c>
      <c r="F105" s="15" t="s">
        <v>11</v>
      </c>
      <c r="G105" s="15">
        <v>9.5500000000000007</v>
      </c>
      <c r="H105" s="17">
        <f t="shared" si="2"/>
        <v>5</v>
      </c>
      <c r="I105" s="17">
        <f>YEAR(Sheet1!$A105)</f>
        <v>2024</v>
      </c>
      <c r="J105" s="17">
        <f>DAY(Sheet1!$A105)</f>
        <v>10</v>
      </c>
      <c r="K105" s="18" t="s">
        <v>2023</v>
      </c>
      <c r="L105" s="19" t="str">
        <f t="shared" si="3"/>
        <v>Regular Customer</v>
      </c>
    </row>
    <row r="106" spans="1:12" ht="15.75" customHeight="1" x14ac:dyDescent="0.3">
      <c r="A106" s="7">
        <v>45438</v>
      </c>
      <c r="B106" s="8" t="s">
        <v>1795</v>
      </c>
      <c r="C106" s="8" t="s">
        <v>13</v>
      </c>
      <c r="D106" s="8" t="s">
        <v>16</v>
      </c>
      <c r="E106" s="9">
        <v>9.57</v>
      </c>
      <c r="F106" s="8" t="s">
        <v>11</v>
      </c>
      <c r="G106" s="8">
        <v>9.57</v>
      </c>
      <c r="H106" s="10">
        <f t="shared" si="2"/>
        <v>5</v>
      </c>
      <c r="I106" s="10">
        <f>YEAR(Sheet1!$A106)</f>
        <v>2024</v>
      </c>
      <c r="J106" s="10">
        <f>DAY(Sheet1!$A106)</f>
        <v>26</v>
      </c>
      <c r="K106" s="12" t="s">
        <v>2023</v>
      </c>
      <c r="L106" s="13" t="str">
        <f t="shared" si="3"/>
        <v>Regular Customer</v>
      </c>
    </row>
    <row r="107" spans="1:12" ht="15.75" customHeight="1" x14ac:dyDescent="0.3">
      <c r="A107" s="14">
        <v>45502</v>
      </c>
      <c r="B107" s="15" t="s">
        <v>1963</v>
      </c>
      <c r="C107" s="15" t="s">
        <v>18</v>
      </c>
      <c r="D107" s="15" t="s">
        <v>14</v>
      </c>
      <c r="E107" s="16">
        <v>9.64</v>
      </c>
      <c r="F107" s="15" t="s">
        <v>10</v>
      </c>
      <c r="G107" s="15">
        <v>9.64</v>
      </c>
      <c r="H107" s="17">
        <f t="shared" si="2"/>
        <v>7</v>
      </c>
      <c r="I107" s="17">
        <f>YEAR(Sheet1!$A107)</f>
        <v>2024</v>
      </c>
      <c r="J107" s="17">
        <f>DAY(Sheet1!$A107)</f>
        <v>29</v>
      </c>
      <c r="K107" s="18" t="s">
        <v>2023</v>
      </c>
      <c r="L107" s="19" t="str">
        <f t="shared" si="3"/>
        <v>Regular Customer</v>
      </c>
    </row>
    <row r="108" spans="1:12" ht="15.75" customHeight="1" x14ac:dyDescent="0.3">
      <c r="A108" s="7">
        <v>45574</v>
      </c>
      <c r="B108" s="8" t="s">
        <v>33</v>
      </c>
      <c r="C108" s="8" t="s">
        <v>18</v>
      </c>
      <c r="D108" s="8" t="s">
        <v>19</v>
      </c>
      <c r="E108" s="9">
        <v>9.9</v>
      </c>
      <c r="F108" s="8" t="s">
        <v>11</v>
      </c>
      <c r="G108" s="8">
        <v>9.9</v>
      </c>
      <c r="H108" s="10">
        <f t="shared" si="2"/>
        <v>10</v>
      </c>
      <c r="I108" s="10">
        <f>YEAR(Sheet1!$A108)</f>
        <v>2024</v>
      </c>
      <c r="J108" s="10">
        <f>DAY(Sheet1!$A108)</f>
        <v>9</v>
      </c>
      <c r="K108" s="12" t="s">
        <v>2022</v>
      </c>
      <c r="L108" s="13" t="str">
        <f t="shared" si="3"/>
        <v>Regular Customer</v>
      </c>
    </row>
    <row r="109" spans="1:12" ht="15.75" customHeight="1" x14ac:dyDescent="0.3">
      <c r="A109" s="14">
        <v>45741</v>
      </c>
      <c r="B109" s="15" t="s">
        <v>398</v>
      </c>
      <c r="C109" s="15" t="s">
        <v>18</v>
      </c>
      <c r="D109" s="15" t="s">
        <v>19</v>
      </c>
      <c r="E109" s="16">
        <v>9.92</v>
      </c>
      <c r="F109" s="15" t="s">
        <v>10</v>
      </c>
      <c r="G109" s="15">
        <v>9.92</v>
      </c>
      <c r="H109" s="17">
        <f t="shared" si="2"/>
        <v>3</v>
      </c>
      <c r="I109" s="17">
        <f>YEAR(Sheet1!$A109)</f>
        <v>2025</v>
      </c>
      <c r="J109" s="17">
        <f>DAY(Sheet1!$A109)</f>
        <v>25</v>
      </c>
      <c r="K109" s="18" t="s">
        <v>2023</v>
      </c>
      <c r="L109" s="19" t="str">
        <f t="shared" si="3"/>
        <v>Regular Customer</v>
      </c>
    </row>
    <row r="110" spans="1:12" ht="15.75" customHeight="1" x14ac:dyDescent="0.3">
      <c r="A110" s="7">
        <v>45685</v>
      </c>
      <c r="B110" s="8" t="s">
        <v>391</v>
      </c>
      <c r="C110" s="8" t="s">
        <v>24</v>
      </c>
      <c r="D110" s="8" t="s">
        <v>16</v>
      </c>
      <c r="E110" s="9">
        <v>9.94</v>
      </c>
      <c r="F110" s="8" t="s">
        <v>10</v>
      </c>
      <c r="G110" s="8">
        <v>9.94</v>
      </c>
      <c r="H110" s="10">
        <f t="shared" si="2"/>
        <v>1</v>
      </c>
      <c r="I110" s="10">
        <f>YEAR(Sheet1!$A110)</f>
        <v>2025</v>
      </c>
      <c r="J110" s="10">
        <f>DAY(Sheet1!$A110)</f>
        <v>28</v>
      </c>
      <c r="K110" s="12" t="s">
        <v>2023</v>
      </c>
      <c r="L110" s="13" t="str">
        <f t="shared" si="3"/>
        <v>Regular Customer</v>
      </c>
    </row>
    <row r="111" spans="1:12" ht="15.75" customHeight="1" x14ac:dyDescent="0.3">
      <c r="A111" s="14">
        <v>45467</v>
      </c>
      <c r="B111" s="15" t="s">
        <v>805</v>
      </c>
      <c r="C111" s="15" t="s">
        <v>8</v>
      </c>
      <c r="D111" s="15" t="s">
        <v>9</v>
      </c>
      <c r="E111" s="16">
        <v>9.9499999999999993</v>
      </c>
      <c r="F111" s="15" t="s">
        <v>10</v>
      </c>
      <c r="G111" s="15">
        <v>9.9499999999999993</v>
      </c>
      <c r="H111" s="17">
        <f t="shared" si="2"/>
        <v>6</v>
      </c>
      <c r="I111" s="17">
        <f>YEAR(Sheet1!$A111)</f>
        <v>2024</v>
      </c>
      <c r="J111" s="17">
        <f>DAY(Sheet1!$A111)</f>
        <v>24</v>
      </c>
      <c r="K111" s="18" t="s">
        <v>2023</v>
      </c>
      <c r="L111" s="19" t="str">
        <f t="shared" si="3"/>
        <v>Regular Customer</v>
      </c>
    </row>
    <row r="112" spans="1:12" ht="15.75" customHeight="1" x14ac:dyDescent="0.3">
      <c r="A112" s="7">
        <v>45546</v>
      </c>
      <c r="B112" s="8" t="s">
        <v>189</v>
      </c>
      <c r="C112" s="8" t="s">
        <v>24</v>
      </c>
      <c r="D112" s="8" t="s">
        <v>16</v>
      </c>
      <c r="E112" s="9">
        <v>9.9600000000000009</v>
      </c>
      <c r="F112" s="8" t="s">
        <v>11</v>
      </c>
      <c r="G112" s="8">
        <v>9.9600000000000009</v>
      </c>
      <c r="H112" s="10">
        <f t="shared" si="2"/>
        <v>9</v>
      </c>
      <c r="I112" s="10">
        <f>YEAR(Sheet1!$A112)</f>
        <v>2024</v>
      </c>
      <c r="J112" s="10">
        <f>DAY(Sheet1!$A112)</f>
        <v>11</v>
      </c>
      <c r="K112" s="12" t="s">
        <v>2023</v>
      </c>
      <c r="L112" s="13" t="str">
        <f t="shared" si="3"/>
        <v>Regular Customer</v>
      </c>
    </row>
    <row r="113" spans="1:12" ht="15.75" customHeight="1" x14ac:dyDescent="0.3">
      <c r="A113" s="14">
        <v>45485</v>
      </c>
      <c r="B113" s="15" t="s">
        <v>88</v>
      </c>
      <c r="C113" s="15" t="s">
        <v>18</v>
      </c>
      <c r="D113" s="15" t="s">
        <v>16</v>
      </c>
      <c r="E113" s="16">
        <v>9.99</v>
      </c>
      <c r="F113" s="15" t="s">
        <v>10</v>
      </c>
      <c r="G113" s="15">
        <v>9.99</v>
      </c>
      <c r="H113" s="17">
        <f t="shared" si="2"/>
        <v>7</v>
      </c>
      <c r="I113" s="17">
        <f>YEAR(Sheet1!$A113)</f>
        <v>2024</v>
      </c>
      <c r="J113" s="17">
        <f>DAY(Sheet1!$A113)</f>
        <v>12</v>
      </c>
      <c r="K113" s="18" t="s">
        <v>2023</v>
      </c>
      <c r="L113" s="19" t="str">
        <f t="shared" si="3"/>
        <v>Regular Customer</v>
      </c>
    </row>
    <row r="114" spans="1:12" ht="15.75" customHeight="1" x14ac:dyDescent="0.3">
      <c r="A114" s="7">
        <v>45691</v>
      </c>
      <c r="B114" s="8" t="s">
        <v>1630</v>
      </c>
      <c r="C114" s="8" t="s">
        <v>24</v>
      </c>
      <c r="D114" s="8" t="s">
        <v>16</v>
      </c>
      <c r="E114" s="9">
        <v>10</v>
      </c>
      <c r="F114" s="8" t="s">
        <v>11</v>
      </c>
      <c r="G114" s="8">
        <v>10</v>
      </c>
      <c r="H114" s="10">
        <f t="shared" si="2"/>
        <v>2</v>
      </c>
      <c r="I114" s="10">
        <f>YEAR(Sheet1!$A114)</f>
        <v>2025</v>
      </c>
      <c r="J114" s="10">
        <f>DAY(Sheet1!$A114)</f>
        <v>3</v>
      </c>
      <c r="K114" s="12" t="s">
        <v>2023</v>
      </c>
      <c r="L114" s="13" t="str">
        <f t="shared" si="3"/>
        <v>Regular Customer</v>
      </c>
    </row>
    <row r="115" spans="1:12" ht="15.75" customHeight="1" x14ac:dyDescent="0.3">
      <c r="A115" s="14">
        <v>45485</v>
      </c>
      <c r="B115" s="15" t="s">
        <v>713</v>
      </c>
      <c r="C115" s="15" t="s">
        <v>18</v>
      </c>
      <c r="D115" s="15" t="s">
        <v>16</v>
      </c>
      <c r="E115" s="16">
        <v>10.029999999999999</v>
      </c>
      <c r="F115" s="15" t="s">
        <v>11</v>
      </c>
      <c r="G115" s="15">
        <v>10.029999999999999</v>
      </c>
      <c r="H115" s="17">
        <f t="shared" si="2"/>
        <v>7</v>
      </c>
      <c r="I115" s="17">
        <f>YEAR(Sheet1!$A115)</f>
        <v>2024</v>
      </c>
      <c r="J115" s="17">
        <f>DAY(Sheet1!$A115)</f>
        <v>12</v>
      </c>
      <c r="K115" s="18" t="s">
        <v>2023</v>
      </c>
      <c r="L115" s="19" t="str">
        <f t="shared" si="3"/>
        <v>Regular Customer</v>
      </c>
    </row>
    <row r="116" spans="1:12" ht="15.75" customHeight="1" x14ac:dyDescent="0.3">
      <c r="A116" s="7">
        <v>45726</v>
      </c>
      <c r="B116" s="8" t="s">
        <v>194</v>
      </c>
      <c r="C116" s="8" t="s">
        <v>24</v>
      </c>
      <c r="D116" s="8" t="s">
        <v>14</v>
      </c>
      <c r="E116" s="9">
        <v>10.050000000000001</v>
      </c>
      <c r="F116" s="8" t="s">
        <v>11</v>
      </c>
      <c r="G116" s="8">
        <v>10.050000000000001</v>
      </c>
      <c r="H116" s="10">
        <f t="shared" si="2"/>
        <v>3</v>
      </c>
      <c r="I116" s="10">
        <f>YEAR(Sheet1!$A116)</f>
        <v>2025</v>
      </c>
      <c r="J116" s="10">
        <f>DAY(Sheet1!$A116)</f>
        <v>10</v>
      </c>
      <c r="K116" s="12" t="s">
        <v>2023</v>
      </c>
      <c r="L116" s="13" t="str">
        <f t="shared" si="3"/>
        <v>Regular Customer</v>
      </c>
    </row>
    <row r="117" spans="1:12" ht="15.75" customHeight="1" x14ac:dyDescent="0.3">
      <c r="A117" s="14">
        <v>45538</v>
      </c>
      <c r="B117" s="15" t="s">
        <v>1200</v>
      </c>
      <c r="C117" s="15" t="s">
        <v>18</v>
      </c>
      <c r="D117" s="15" t="s">
        <v>9</v>
      </c>
      <c r="E117" s="16">
        <v>10.07</v>
      </c>
      <c r="F117" s="15" t="s">
        <v>10</v>
      </c>
      <c r="G117" s="15">
        <v>10.07</v>
      </c>
      <c r="H117" s="17">
        <f t="shared" si="2"/>
        <v>9</v>
      </c>
      <c r="I117" s="17">
        <f>YEAR(Sheet1!$A117)</f>
        <v>2024</v>
      </c>
      <c r="J117" s="17">
        <f>DAY(Sheet1!$A117)</f>
        <v>3</v>
      </c>
      <c r="K117" s="18" t="s">
        <v>2023</v>
      </c>
      <c r="L117" s="19" t="str">
        <f t="shared" si="3"/>
        <v>Regular Customer</v>
      </c>
    </row>
    <row r="118" spans="1:12" ht="15.75" customHeight="1" x14ac:dyDescent="0.3">
      <c r="A118" s="7">
        <v>45774</v>
      </c>
      <c r="B118" s="8" t="s">
        <v>1927</v>
      </c>
      <c r="C118" s="8" t="s">
        <v>18</v>
      </c>
      <c r="D118" s="8" t="s">
        <v>9</v>
      </c>
      <c r="E118" s="9">
        <v>5.04</v>
      </c>
      <c r="F118" s="8" t="s">
        <v>10</v>
      </c>
      <c r="G118" s="8">
        <v>10.08</v>
      </c>
      <c r="H118" s="10">
        <f t="shared" si="2"/>
        <v>4</v>
      </c>
      <c r="I118" s="10">
        <f>YEAR(Sheet1!$A118)</f>
        <v>2025</v>
      </c>
      <c r="J118" s="10">
        <f>DAY(Sheet1!$A118)</f>
        <v>27</v>
      </c>
      <c r="K118" s="12" t="s">
        <v>2023</v>
      </c>
      <c r="L118" s="13" t="str">
        <f t="shared" si="3"/>
        <v>Regular Customer</v>
      </c>
    </row>
    <row r="119" spans="1:12" ht="15.75" customHeight="1" x14ac:dyDescent="0.3">
      <c r="A119" s="14">
        <v>45585</v>
      </c>
      <c r="B119" s="15" t="s">
        <v>1658</v>
      </c>
      <c r="C119" s="15" t="s">
        <v>24</v>
      </c>
      <c r="D119" s="15" t="s">
        <v>16</v>
      </c>
      <c r="E119" s="16">
        <v>10.11</v>
      </c>
      <c r="F119" s="15" t="s">
        <v>10</v>
      </c>
      <c r="G119" s="15">
        <v>10.11</v>
      </c>
      <c r="H119" s="17">
        <f t="shared" si="2"/>
        <v>10</v>
      </c>
      <c r="I119" s="17">
        <f>YEAR(Sheet1!$A119)</f>
        <v>2024</v>
      </c>
      <c r="J119" s="17">
        <f>DAY(Sheet1!$A119)</f>
        <v>20</v>
      </c>
      <c r="K119" s="18" t="s">
        <v>2022</v>
      </c>
      <c r="L119" s="19" t="str">
        <f t="shared" si="3"/>
        <v>Regular Customer</v>
      </c>
    </row>
    <row r="120" spans="1:12" ht="15.75" customHeight="1" x14ac:dyDescent="0.3">
      <c r="A120" s="7">
        <v>45632</v>
      </c>
      <c r="B120" s="8" t="s">
        <v>1465</v>
      </c>
      <c r="C120" s="8" t="s">
        <v>24</v>
      </c>
      <c r="D120" s="8" t="s">
        <v>16</v>
      </c>
      <c r="E120" s="9">
        <v>10.130000000000001</v>
      </c>
      <c r="F120" s="8" t="s">
        <v>10</v>
      </c>
      <c r="G120" s="8">
        <v>10.130000000000001</v>
      </c>
      <c r="H120" s="10">
        <f t="shared" si="2"/>
        <v>12</v>
      </c>
      <c r="I120" s="10">
        <f>YEAR(Sheet1!$A120)</f>
        <v>2024</v>
      </c>
      <c r="J120" s="10">
        <f>DAY(Sheet1!$A120)</f>
        <v>6</v>
      </c>
      <c r="K120" s="12" t="s">
        <v>2023</v>
      </c>
      <c r="L120" s="13" t="str">
        <f t="shared" si="3"/>
        <v>Regular Customer</v>
      </c>
    </row>
    <row r="121" spans="1:12" ht="15.75" customHeight="1" x14ac:dyDescent="0.3">
      <c r="A121" s="14">
        <v>45750</v>
      </c>
      <c r="B121" s="15" t="s">
        <v>1048</v>
      </c>
      <c r="C121" s="15" t="s">
        <v>24</v>
      </c>
      <c r="D121" s="15" t="s">
        <v>9</v>
      </c>
      <c r="E121" s="16">
        <v>10.130000000000001</v>
      </c>
      <c r="F121" s="15" t="s">
        <v>10</v>
      </c>
      <c r="G121" s="15">
        <v>10.130000000000001</v>
      </c>
      <c r="H121" s="17">
        <f t="shared" si="2"/>
        <v>4</v>
      </c>
      <c r="I121" s="17">
        <f>YEAR(Sheet1!$A121)</f>
        <v>2025</v>
      </c>
      <c r="J121" s="17">
        <f>DAY(Sheet1!$A121)</f>
        <v>3</v>
      </c>
      <c r="K121" s="18" t="s">
        <v>2022</v>
      </c>
      <c r="L121" s="19" t="str">
        <f t="shared" si="3"/>
        <v>Regular Customer</v>
      </c>
    </row>
    <row r="122" spans="1:12" ht="15.75" customHeight="1" x14ac:dyDescent="0.3">
      <c r="A122" s="7">
        <v>45454</v>
      </c>
      <c r="B122" s="8" t="s">
        <v>129</v>
      </c>
      <c r="C122" s="8" t="s">
        <v>8</v>
      </c>
      <c r="D122" s="8" t="s">
        <v>14</v>
      </c>
      <c r="E122" s="9">
        <v>10.14</v>
      </c>
      <c r="F122" s="8" t="s">
        <v>10</v>
      </c>
      <c r="G122" s="8">
        <v>10.14</v>
      </c>
      <c r="H122" s="10">
        <f t="shared" si="2"/>
        <v>6</v>
      </c>
      <c r="I122" s="10">
        <f>YEAR(Sheet1!$A122)</f>
        <v>2024</v>
      </c>
      <c r="J122" s="10">
        <f>DAY(Sheet1!$A122)</f>
        <v>11</v>
      </c>
      <c r="K122" s="12" t="s">
        <v>2022</v>
      </c>
      <c r="L122" s="13" t="str">
        <f t="shared" si="3"/>
        <v>Regular Customer</v>
      </c>
    </row>
    <row r="123" spans="1:12" ht="15.75" customHeight="1" x14ac:dyDescent="0.3">
      <c r="A123" s="14">
        <v>45473</v>
      </c>
      <c r="B123" s="15" t="s">
        <v>633</v>
      </c>
      <c r="C123" s="15" t="s">
        <v>13</v>
      </c>
      <c r="D123" s="15" t="s">
        <v>16</v>
      </c>
      <c r="E123" s="16">
        <v>10.199999999999999</v>
      </c>
      <c r="F123" s="15" t="s">
        <v>11</v>
      </c>
      <c r="G123" s="15">
        <v>10.199999999999999</v>
      </c>
      <c r="H123" s="17">
        <f t="shared" si="2"/>
        <v>6</v>
      </c>
      <c r="I123" s="17">
        <f>YEAR(Sheet1!$A123)</f>
        <v>2024</v>
      </c>
      <c r="J123" s="17">
        <f>DAY(Sheet1!$A123)</f>
        <v>30</v>
      </c>
      <c r="K123" s="18" t="s">
        <v>2022</v>
      </c>
      <c r="L123" s="19" t="str">
        <f t="shared" si="3"/>
        <v>Regular Customer</v>
      </c>
    </row>
    <row r="124" spans="1:12" ht="15.75" customHeight="1" x14ac:dyDescent="0.3">
      <c r="A124" s="7">
        <v>45525</v>
      </c>
      <c r="B124" s="8" t="s">
        <v>580</v>
      </c>
      <c r="C124" s="8" t="s">
        <v>18</v>
      </c>
      <c r="D124" s="8" t="s">
        <v>16</v>
      </c>
      <c r="E124" s="9">
        <v>10.210000000000001</v>
      </c>
      <c r="F124" s="8" t="s">
        <v>11</v>
      </c>
      <c r="G124" s="8">
        <v>10.210000000000001</v>
      </c>
      <c r="H124" s="10">
        <f t="shared" si="2"/>
        <v>8</v>
      </c>
      <c r="I124" s="10">
        <f>YEAR(Sheet1!$A124)</f>
        <v>2024</v>
      </c>
      <c r="J124" s="10">
        <f>DAY(Sheet1!$A124)</f>
        <v>21</v>
      </c>
      <c r="K124" s="12" t="s">
        <v>2022</v>
      </c>
      <c r="L124" s="13" t="str">
        <f t="shared" si="3"/>
        <v>Regular Customer</v>
      </c>
    </row>
    <row r="125" spans="1:12" ht="15.75" customHeight="1" x14ac:dyDescent="0.3">
      <c r="A125" s="14">
        <v>45435</v>
      </c>
      <c r="B125" s="15" t="s">
        <v>1668</v>
      </c>
      <c r="C125" s="15" t="s">
        <v>24</v>
      </c>
      <c r="D125" s="15" t="s">
        <v>14</v>
      </c>
      <c r="E125" s="16">
        <v>10.220000000000001</v>
      </c>
      <c r="F125" s="15" t="s">
        <v>11</v>
      </c>
      <c r="G125" s="15">
        <v>10.220000000000001</v>
      </c>
      <c r="H125" s="17">
        <f t="shared" si="2"/>
        <v>5</v>
      </c>
      <c r="I125" s="17">
        <f>YEAR(Sheet1!$A125)</f>
        <v>2024</v>
      </c>
      <c r="J125" s="17">
        <f>DAY(Sheet1!$A125)</f>
        <v>23</v>
      </c>
      <c r="K125" s="18" t="s">
        <v>2023</v>
      </c>
      <c r="L125" s="19" t="str">
        <f t="shared" si="3"/>
        <v>Regular Customer</v>
      </c>
    </row>
    <row r="126" spans="1:12" ht="15.75" customHeight="1" x14ac:dyDescent="0.3">
      <c r="A126" s="7">
        <v>45597</v>
      </c>
      <c r="B126" s="8" t="s">
        <v>1738</v>
      </c>
      <c r="C126" s="8" t="s">
        <v>18</v>
      </c>
      <c r="D126" s="8" t="s">
        <v>19</v>
      </c>
      <c r="E126" s="9">
        <v>5.13</v>
      </c>
      <c r="F126" s="8" t="s">
        <v>11</v>
      </c>
      <c r="G126" s="8">
        <v>10.26</v>
      </c>
      <c r="H126" s="10">
        <f t="shared" si="2"/>
        <v>11</v>
      </c>
      <c r="I126" s="10">
        <f>YEAR(Sheet1!$A126)</f>
        <v>2024</v>
      </c>
      <c r="J126" s="10">
        <f>DAY(Sheet1!$A126)</f>
        <v>1</v>
      </c>
      <c r="K126" s="12" t="s">
        <v>2023</v>
      </c>
      <c r="L126" s="13" t="str">
        <f t="shared" si="3"/>
        <v>Regular Customer</v>
      </c>
    </row>
    <row r="127" spans="1:12" ht="15.75" customHeight="1" x14ac:dyDescent="0.3">
      <c r="A127" s="14">
        <v>45594</v>
      </c>
      <c r="B127" s="15" t="s">
        <v>1713</v>
      </c>
      <c r="C127" s="15" t="s">
        <v>24</v>
      </c>
      <c r="D127" s="15" t="s">
        <v>16</v>
      </c>
      <c r="E127" s="16">
        <v>5.16</v>
      </c>
      <c r="F127" s="15" t="s">
        <v>10</v>
      </c>
      <c r="G127" s="15">
        <v>10.32</v>
      </c>
      <c r="H127" s="17">
        <f t="shared" si="2"/>
        <v>10</v>
      </c>
      <c r="I127" s="17">
        <f>YEAR(Sheet1!$A127)</f>
        <v>2024</v>
      </c>
      <c r="J127" s="17">
        <f>DAY(Sheet1!$A127)</f>
        <v>29</v>
      </c>
      <c r="K127" s="18" t="s">
        <v>2023</v>
      </c>
      <c r="L127" s="19" t="str">
        <f t="shared" si="3"/>
        <v>Regular Customer</v>
      </c>
    </row>
    <row r="128" spans="1:12" ht="15.75" customHeight="1" x14ac:dyDescent="0.3">
      <c r="A128" s="7">
        <v>45462</v>
      </c>
      <c r="B128" s="8" t="s">
        <v>1855</v>
      </c>
      <c r="C128" s="8" t="s">
        <v>8</v>
      </c>
      <c r="D128" s="8" t="s">
        <v>19</v>
      </c>
      <c r="E128" s="9">
        <v>10.36</v>
      </c>
      <c r="F128" s="8" t="s">
        <v>11</v>
      </c>
      <c r="G128" s="8">
        <v>10.36</v>
      </c>
      <c r="H128" s="10">
        <f t="shared" si="2"/>
        <v>6</v>
      </c>
      <c r="I128" s="10">
        <f>YEAR(Sheet1!$A128)</f>
        <v>2024</v>
      </c>
      <c r="J128" s="10">
        <f>DAY(Sheet1!$A128)</f>
        <v>19</v>
      </c>
      <c r="K128" s="12" t="s">
        <v>2022</v>
      </c>
      <c r="L128" s="13" t="str">
        <f t="shared" si="3"/>
        <v>Regular Customer</v>
      </c>
    </row>
    <row r="129" spans="1:12" ht="15.75" customHeight="1" x14ac:dyDescent="0.3">
      <c r="A129" s="14">
        <v>45506</v>
      </c>
      <c r="B129" s="15" t="s">
        <v>184</v>
      </c>
      <c r="C129" s="15" t="s">
        <v>24</v>
      </c>
      <c r="D129" s="15" t="s">
        <v>19</v>
      </c>
      <c r="E129" s="16">
        <v>10.36</v>
      </c>
      <c r="F129" s="15" t="s">
        <v>10</v>
      </c>
      <c r="G129" s="15">
        <v>10.36</v>
      </c>
      <c r="H129" s="17">
        <f t="shared" si="2"/>
        <v>8</v>
      </c>
      <c r="I129" s="17">
        <f>YEAR(Sheet1!$A129)</f>
        <v>2024</v>
      </c>
      <c r="J129" s="17">
        <f>DAY(Sheet1!$A129)</f>
        <v>2</v>
      </c>
      <c r="K129" s="18" t="s">
        <v>2022</v>
      </c>
      <c r="L129" s="19" t="str">
        <f t="shared" si="3"/>
        <v>Regular Customer</v>
      </c>
    </row>
    <row r="130" spans="1:12" ht="15.75" customHeight="1" x14ac:dyDescent="0.3">
      <c r="A130" s="7">
        <v>45435</v>
      </c>
      <c r="B130" s="8" t="s">
        <v>1982</v>
      </c>
      <c r="C130" s="8" t="s">
        <v>13</v>
      </c>
      <c r="D130" s="8" t="s">
        <v>19</v>
      </c>
      <c r="E130" s="9">
        <v>10.38</v>
      </c>
      <c r="F130" s="8" t="s">
        <v>10</v>
      </c>
      <c r="G130" s="8">
        <v>10.38</v>
      </c>
      <c r="H130" s="10">
        <f t="shared" ref="H130:H193" si="4">MONTH(A130)</f>
        <v>5</v>
      </c>
      <c r="I130" s="10">
        <f>YEAR(Sheet1!$A130)</f>
        <v>2024</v>
      </c>
      <c r="J130" s="10">
        <f>DAY(Sheet1!$A130)</f>
        <v>23</v>
      </c>
      <c r="K130" s="12" t="s">
        <v>2023</v>
      </c>
      <c r="L130" s="13" t="str">
        <f t="shared" ref="L130:L193" si="5">IF(G130&gt;50,"Premium Customer","Regular Customer")</f>
        <v>Regular Customer</v>
      </c>
    </row>
    <row r="131" spans="1:12" ht="15.75" customHeight="1" x14ac:dyDescent="0.3">
      <c r="A131" s="14">
        <v>45676</v>
      </c>
      <c r="B131" s="15" t="s">
        <v>987</v>
      </c>
      <c r="C131" s="15" t="s">
        <v>13</v>
      </c>
      <c r="D131" s="15" t="s">
        <v>9</v>
      </c>
      <c r="E131" s="16">
        <v>5.2</v>
      </c>
      <c r="F131" s="15" t="s">
        <v>10</v>
      </c>
      <c r="G131" s="15">
        <v>10.4</v>
      </c>
      <c r="H131" s="17">
        <f t="shared" si="4"/>
        <v>1</v>
      </c>
      <c r="I131" s="17">
        <f>YEAR(Sheet1!$A131)</f>
        <v>2025</v>
      </c>
      <c r="J131" s="17">
        <f>DAY(Sheet1!$A131)</f>
        <v>19</v>
      </c>
      <c r="K131" s="18" t="s">
        <v>2023</v>
      </c>
      <c r="L131" s="19" t="str">
        <f t="shared" si="5"/>
        <v>Regular Customer</v>
      </c>
    </row>
    <row r="132" spans="1:12" ht="15.75" customHeight="1" x14ac:dyDescent="0.3">
      <c r="A132" s="7">
        <v>45774</v>
      </c>
      <c r="B132" s="8" t="s">
        <v>1652</v>
      </c>
      <c r="C132" s="8" t="s">
        <v>24</v>
      </c>
      <c r="D132" s="8" t="s">
        <v>19</v>
      </c>
      <c r="E132" s="9">
        <v>10.4</v>
      </c>
      <c r="F132" s="8" t="s">
        <v>10</v>
      </c>
      <c r="G132" s="8">
        <v>10.4</v>
      </c>
      <c r="H132" s="10">
        <f t="shared" si="4"/>
        <v>4</v>
      </c>
      <c r="I132" s="10">
        <f>YEAR(Sheet1!$A132)</f>
        <v>2025</v>
      </c>
      <c r="J132" s="10">
        <f>DAY(Sheet1!$A132)</f>
        <v>27</v>
      </c>
      <c r="K132" s="12" t="s">
        <v>2022</v>
      </c>
      <c r="L132" s="13" t="str">
        <f t="shared" si="5"/>
        <v>Regular Customer</v>
      </c>
    </row>
    <row r="133" spans="1:12" ht="15.75" customHeight="1" x14ac:dyDescent="0.3">
      <c r="A133" s="14">
        <v>45765</v>
      </c>
      <c r="B133" s="15" t="s">
        <v>1523</v>
      </c>
      <c r="C133" s="15" t="s">
        <v>13</v>
      </c>
      <c r="D133" s="15" t="s">
        <v>14</v>
      </c>
      <c r="E133" s="16">
        <v>10.41</v>
      </c>
      <c r="F133" s="15" t="s">
        <v>10</v>
      </c>
      <c r="G133" s="15">
        <v>10.41</v>
      </c>
      <c r="H133" s="17">
        <f t="shared" si="4"/>
        <v>4</v>
      </c>
      <c r="I133" s="17">
        <f>YEAR(Sheet1!$A133)</f>
        <v>2025</v>
      </c>
      <c r="J133" s="17">
        <f>DAY(Sheet1!$A133)</f>
        <v>18</v>
      </c>
      <c r="K133" s="18" t="s">
        <v>2023</v>
      </c>
      <c r="L133" s="19" t="str">
        <f t="shared" si="5"/>
        <v>Regular Customer</v>
      </c>
    </row>
    <row r="134" spans="1:12" ht="15.75" customHeight="1" x14ac:dyDescent="0.3">
      <c r="A134" s="7">
        <v>45474</v>
      </c>
      <c r="B134" s="8" t="s">
        <v>1183</v>
      </c>
      <c r="C134" s="8" t="s">
        <v>13</v>
      </c>
      <c r="D134" s="8" t="s">
        <v>19</v>
      </c>
      <c r="E134" s="9">
        <v>10.44</v>
      </c>
      <c r="F134" s="8" t="s">
        <v>11</v>
      </c>
      <c r="G134" s="8">
        <v>10.44</v>
      </c>
      <c r="H134" s="10">
        <f t="shared" si="4"/>
        <v>7</v>
      </c>
      <c r="I134" s="10">
        <f>YEAR(Sheet1!$A134)</f>
        <v>2024</v>
      </c>
      <c r="J134" s="10">
        <f>DAY(Sheet1!$A134)</f>
        <v>1</v>
      </c>
      <c r="K134" s="12" t="s">
        <v>2022</v>
      </c>
      <c r="L134" s="13" t="str">
        <f t="shared" si="5"/>
        <v>Regular Customer</v>
      </c>
    </row>
    <row r="135" spans="1:12" ht="15.75" customHeight="1" x14ac:dyDescent="0.3">
      <c r="A135" s="14">
        <v>45730</v>
      </c>
      <c r="B135" s="15" t="s">
        <v>1766</v>
      </c>
      <c r="C135" s="15" t="s">
        <v>8</v>
      </c>
      <c r="D135" s="15" t="s">
        <v>14</v>
      </c>
      <c r="E135" s="16">
        <v>10.45</v>
      </c>
      <c r="F135" s="15" t="s">
        <v>11</v>
      </c>
      <c r="G135" s="15">
        <v>10.45</v>
      </c>
      <c r="H135" s="17">
        <f t="shared" si="4"/>
        <v>3</v>
      </c>
      <c r="I135" s="17">
        <f>YEAR(Sheet1!$A135)</f>
        <v>2025</v>
      </c>
      <c r="J135" s="17">
        <f>DAY(Sheet1!$A135)</f>
        <v>14</v>
      </c>
      <c r="K135" s="18" t="s">
        <v>2022</v>
      </c>
      <c r="L135" s="19" t="str">
        <f t="shared" si="5"/>
        <v>Regular Customer</v>
      </c>
    </row>
    <row r="136" spans="1:12" ht="15.75" customHeight="1" x14ac:dyDescent="0.3">
      <c r="A136" s="7">
        <v>45513</v>
      </c>
      <c r="B136" s="8" t="s">
        <v>1002</v>
      </c>
      <c r="C136" s="8" t="s">
        <v>24</v>
      </c>
      <c r="D136" s="8" t="s">
        <v>14</v>
      </c>
      <c r="E136" s="9">
        <v>5.23</v>
      </c>
      <c r="F136" s="8" t="s">
        <v>10</v>
      </c>
      <c r="G136" s="8">
        <v>10.46</v>
      </c>
      <c r="H136" s="10">
        <f t="shared" si="4"/>
        <v>8</v>
      </c>
      <c r="I136" s="10">
        <f>YEAR(Sheet1!$A136)</f>
        <v>2024</v>
      </c>
      <c r="J136" s="10">
        <f>DAY(Sheet1!$A136)</f>
        <v>9</v>
      </c>
      <c r="K136" s="12" t="s">
        <v>2022</v>
      </c>
      <c r="L136" s="13" t="str">
        <f t="shared" si="5"/>
        <v>Regular Customer</v>
      </c>
    </row>
    <row r="137" spans="1:12" ht="15.75" customHeight="1" x14ac:dyDescent="0.3">
      <c r="A137" s="14">
        <v>45696</v>
      </c>
      <c r="B137" s="15" t="s">
        <v>905</v>
      </c>
      <c r="C137" s="15" t="s">
        <v>18</v>
      </c>
      <c r="D137" s="15" t="s">
        <v>19</v>
      </c>
      <c r="E137" s="16">
        <v>10.46</v>
      </c>
      <c r="F137" s="15" t="s">
        <v>10</v>
      </c>
      <c r="G137" s="15">
        <v>10.46</v>
      </c>
      <c r="H137" s="17">
        <f t="shared" si="4"/>
        <v>2</v>
      </c>
      <c r="I137" s="17">
        <f>YEAR(Sheet1!$A137)</f>
        <v>2025</v>
      </c>
      <c r="J137" s="17">
        <f>DAY(Sheet1!$A137)</f>
        <v>8</v>
      </c>
      <c r="K137" s="18" t="s">
        <v>2022</v>
      </c>
      <c r="L137" s="19" t="str">
        <f t="shared" si="5"/>
        <v>Regular Customer</v>
      </c>
    </row>
    <row r="138" spans="1:12" ht="15.75" customHeight="1" x14ac:dyDescent="0.3">
      <c r="A138" s="7">
        <v>45523</v>
      </c>
      <c r="B138" s="8" t="s">
        <v>421</v>
      </c>
      <c r="C138" s="8" t="s">
        <v>18</v>
      </c>
      <c r="D138" s="8" t="s">
        <v>16</v>
      </c>
      <c r="E138" s="9">
        <v>10.54</v>
      </c>
      <c r="F138" s="8" t="s">
        <v>10</v>
      </c>
      <c r="G138" s="8">
        <v>10.54</v>
      </c>
      <c r="H138" s="10">
        <f t="shared" si="4"/>
        <v>8</v>
      </c>
      <c r="I138" s="10">
        <f>YEAR(Sheet1!$A138)</f>
        <v>2024</v>
      </c>
      <c r="J138" s="10">
        <f>DAY(Sheet1!$A138)</f>
        <v>19</v>
      </c>
      <c r="K138" s="12" t="s">
        <v>2023</v>
      </c>
      <c r="L138" s="13" t="str">
        <f t="shared" si="5"/>
        <v>Regular Customer</v>
      </c>
    </row>
    <row r="139" spans="1:12" ht="15.75" customHeight="1" x14ac:dyDescent="0.3">
      <c r="A139" s="14">
        <v>45523</v>
      </c>
      <c r="B139" s="15" t="s">
        <v>1729</v>
      </c>
      <c r="C139" s="15" t="s">
        <v>18</v>
      </c>
      <c r="D139" s="15" t="s">
        <v>19</v>
      </c>
      <c r="E139" s="16">
        <v>10.55</v>
      </c>
      <c r="F139" s="15" t="s">
        <v>11</v>
      </c>
      <c r="G139" s="15">
        <v>10.55</v>
      </c>
      <c r="H139" s="17">
        <f t="shared" si="4"/>
        <v>8</v>
      </c>
      <c r="I139" s="17">
        <f>YEAR(Sheet1!$A139)</f>
        <v>2024</v>
      </c>
      <c r="J139" s="17">
        <f>DAY(Sheet1!$A139)</f>
        <v>19</v>
      </c>
      <c r="K139" s="18" t="s">
        <v>2023</v>
      </c>
      <c r="L139" s="19" t="str">
        <f t="shared" si="5"/>
        <v>Regular Customer</v>
      </c>
    </row>
    <row r="140" spans="1:12" ht="15.75" customHeight="1" x14ac:dyDescent="0.3">
      <c r="A140" s="7">
        <v>45605</v>
      </c>
      <c r="B140" s="8" t="s">
        <v>617</v>
      </c>
      <c r="C140" s="8" t="s">
        <v>13</v>
      </c>
      <c r="D140" s="8" t="s">
        <v>9</v>
      </c>
      <c r="E140" s="9">
        <v>10.59</v>
      </c>
      <c r="F140" s="8" t="s">
        <v>11</v>
      </c>
      <c r="G140" s="8">
        <v>10.59</v>
      </c>
      <c r="H140" s="10">
        <f t="shared" si="4"/>
        <v>11</v>
      </c>
      <c r="I140" s="10">
        <f>YEAR(Sheet1!$A140)</f>
        <v>2024</v>
      </c>
      <c r="J140" s="10">
        <f>DAY(Sheet1!$A140)</f>
        <v>9</v>
      </c>
      <c r="K140" s="12" t="s">
        <v>2022</v>
      </c>
      <c r="L140" s="13" t="str">
        <f t="shared" si="5"/>
        <v>Regular Customer</v>
      </c>
    </row>
    <row r="141" spans="1:12" ht="15.75" customHeight="1" x14ac:dyDescent="0.3">
      <c r="A141" s="14">
        <v>45579</v>
      </c>
      <c r="B141" s="15" t="s">
        <v>1624</v>
      </c>
      <c r="C141" s="15" t="s">
        <v>8</v>
      </c>
      <c r="D141" s="15" t="s">
        <v>19</v>
      </c>
      <c r="E141" s="16">
        <v>10.61</v>
      </c>
      <c r="F141" s="15" t="s">
        <v>11</v>
      </c>
      <c r="G141" s="15">
        <v>10.61</v>
      </c>
      <c r="H141" s="17">
        <f t="shared" si="4"/>
        <v>10</v>
      </c>
      <c r="I141" s="17">
        <f>YEAR(Sheet1!$A141)</f>
        <v>2024</v>
      </c>
      <c r="J141" s="17">
        <f>DAY(Sheet1!$A141)</f>
        <v>14</v>
      </c>
      <c r="K141" s="18" t="s">
        <v>2023</v>
      </c>
      <c r="L141" s="19" t="str">
        <f t="shared" si="5"/>
        <v>Regular Customer</v>
      </c>
    </row>
    <row r="142" spans="1:12" ht="15.75" customHeight="1" x14ac:dyDescent="0.3">
      <c r="A142" s="7">
        <v>45415</v>
      </c>
      <c r="B142" s="8" t="s">
        <v>1912</v>
      </c>
      <c r="C142" s="8" t="s">
        <v>18</v>
      </c>
      <c r="D142" s="8" t="s">
        <v>19</v>
      </c>
      <c r="E142" s="9">
        <v>10.63</v>
      </c>
      <c r="F142" s="8" t="s">
        <v>10</v>
      </c>
      <c r="G142" s="8">
        <v>10.63</v>
      </c>
      <c r="H142" s="10">
        <f t="shared" si="4"/>
        <v>5</v>
      </c>
      <c r="I142" s="10">
        <f>YEAR(Sheet1!$A142)</f>
        <v>2024</v>
      </c>
      <c r="J142" s="10">
        <f>DAY(Sheet1!$A142)</f>
        <v>3</v>
      </c>
      <c r="K142" s="12" t="s">
        <v>2022</v>
      </c>
      <c r="L142" s="13" t="str">
        <f t="shared" si="5"/>
        <v>Regular Customer</v>
      </c>
    </row>
    <row r="143" spans="1:12" ht="15.75" customHeight="1" x14ac:dyDescent="0.3">
      <c r="A143" s="14">
        <v>45589</v>
      </c>
      <c r="B143" s="15" t="s">
        <v>707</v>
      </c>
      <c r="C143" s="15" t="s">
        <v>13</v>
      </c>
      <c r="D143" s="15" t="s">
        <v>9</v>
      </c>
      <c r="E143" s="16">
        <v>10.64</v>
      </c>
      <c r="F143" s="15" t="s">
        <v>11</v>
      </c>
      <c r="G143" s="15">
        <v>10.64</v>
      </c>
      <c r="H143" s="17">
        <f t="shared" si="4"/>
        <v>10</v>
      </c>
      <c r="I143" s="17">
        <f>YEAR(Sheet1!$A143)</f>
        <v>2024</v>
      </c>
      <c r="J143" s="17">
        <f>DAY(Sheet1!$A143)</f>
        <v>24</v>
      </c>
      <c r="K143" s="18" t="s">
        <v>2022</v>
      </c>
      <c r="L143" s="19" t="str">
        <f t="shared" si="5"/>
        <v>Regular Customer</v>
      </c>
    </row>
    <row r="144" spans="1:12" ht="15.75" customHeight="1" x14ac:dyDescent="0.3">
      <c r="A144" s="7">
        <v>45549</v>
      </c>
      <c r="B144" s="8" t="s">
        <v>738</v>
      </c>
      <c r="C144" s="8" t="s">
        <v>13</v>
      </c>
      <c r="D144" s="8" t="s">
        <v>16</v>
      </c>
      <c r="E144" s="9">
        <v>5.33</v>
      </c>
      <c r="F144" s="8" t="s">
        <v>11</v>
      </c>
      <c r="G144" s="8">
        <v>10.66</v>
      </c>
      <c r="H144" s="10">
        <f t="shared" si="4"/>
        <v>9</v>
      </c>
      <c r="I144" s="10">
        <f>YEAR(Sheet1!$A144)</f>
        <v>2024</v>
      </c>
      <c r="J144" s="10">
        <f>DAY(Sheet1!$A144)</f>
        <v>14</v>
      </c>
      <c r="K144" s="12" t="s">
        <v>2023</v>
      </c>
      <c r="L144" s="13" t="str">
        <f t="shared" si="5"/>
        <v>Regular Customer</v>
      </c>
    </row>
    <row r="145" spans="1:12" ht="15.75" customHeight="1" x14ac:dyDescent="0.3">
      <c r="A145" s="14">
        <v>45645</v>
      </c>
      <c r="B145" s="15" t="s">
        <v>783</v>
      </c>
      <c r="C145" s="15" t="s">
        <v>24</v>
      </c>
      <c r="D145" s="15" t="s">
        <v>19</v>
      </c>
      <c r="E145" s="16">
        <v>5.33</v>
      </c>
      <c r="F145" s="15" t="s">
        <v>11</v>
      </c>
      <c r="G145" s="15">
        <v>10.66</v>
      </c>
      <c r="H145" s="17">
        <f t="shared" si="4"/>
        <v>12</v>
      </c>
      <c r="I145" s="17">
        <f>YEAR(Sheet1!$A145)</f>
        <v>2024</v>
      </c>
      <c r="J145" s="17">
        <f>DAY(Sheet1!$A145)</f>
        <v>19</v>
      </c>
      <c r="K145" s="18" t="s">
        <v>2023</v>
      </c>
      <c r="L145" s="19" t="str">
        <f t="shared" si="5"/>
        <v>Regular Customer</v>
      </c>
    </row>
    <row r="146" spans="1:12" ht="15.75" customHeight="1" x14ac:dyDescent="0.3">
      <c r="A146" s="7">
        <v>45569</v>
      </c>
      <c r="B146" s="8" t="s">
        <v>1448</v>
      </c>
      <c r="C146" s="8" t="s">
        <v>13</v>
      </c>
      <c r="D146" s="8" t="s">
        <v>19</v>
      </c>
      <c r="E146" s="9">
        <v>5.34</v>
      </c>
      <c r="F146" s="8" t="s">
        <v>11</v>
      </c>
      <c r="G146" s="8">
        <v>10.68</v>
      </c>
      <c r="H146" s="10">
        <f t="shared" si="4"/>
        <v>10</v>
      </c>
      <c r="I146" s="10">
        <f>YEAR(Sheet1!$A146)</f>
        <v>2024</v>
      </c>
      <c r="J146" s="10">
        <f>DAY(Sheet1!$A146)</f>
        <v>4</v>
      </c>
      <c r="K146" s="12" t="s">
        <v>2023</v>
      </c>
      <c r="L146" s="13" t="str">
        <f t="shared" si="5"/>
        <v>Regular Customer</v>
      </c>
    </row>
    <row r="147" spans="1:12" ht="15.75" customHeight="1" x14ac:dyDescent="0.3">
      <c r="A147" s="14">
        <v>45615</v>
      </c>
      <c r="B147" s="15" t="s">
        <v>1317</v>
      </c>
      <c r="C147" s="15" t="s">
        <v>18</v>
      </c>
      <c r="D147" s="15" t="s">
        <v>14</v>
      </c>
      <c r="E147" s="16">
        <v>5.35</v>
      </c>
      <c r="F147" s="15" t="s">
        <v>11</v>
      </c>
      <c r="G147" s="15">
        <v>10.7</v>
      </c>
      <c r="H147" s="17">
        <f t="shared" si="4"/>
        <v>11</v>
      </c>
      <c r="I147" s="17">
        <f>YEAR(Sheet1!$A147)</f>
        <v>2024</v>
      </c>
      <c r="J147" s="17">
        <f>DAY(Sheet1!$A147)</f>
        <v>19</v>
      </c>
      <c r="K147" s="18" t="s">
        <v>2022</v>
      </c>
      <c r="L147" s="19" t="str">
        <f t="shared" si="5"/>
        <v>Regular Customer</v>
      </c>
    </row>
    <row r="148" spans="1:12" ht="15.75" customHeight="1" x14ac:dyDescent="0.3">
      <c r="A148" s="7">
        <v>45626</v>
      </c>
      <c r="B148" s="8" t="s">
        <v>1370</v>
      </c>
      <c r="C148" s="8" t="s">
        <v>18</v>
      </c>
      <c r="D148" s="8" t="s">
        <v>9</v>
      </c>
      <c r="E148" s="9">
        <v>5.37</v>
      </c>
      <c r="F148" s="8" t="s">
        <v>11</v>
      </c>
      <c r="G148" s="8">
        <v>10.74</v>
      </c>
      <c r="H148" s="10">
        <f t="shared" si="4"/>
        <v>11</v>
      </c>
      <c r="I148" s="10">
        <f>YEAR(Sheet1!$A148)</f>
        <v>2024</v>
      </c>
      <c r="J148" s="10">
        <f>DAY(Sheet1!$A148)</f>
        <v>30</v>
      </c>
      <c r="K148" s="12" t="s">
        <v>2023</v>
      </c>
      <c r="L148" s="13" t="str">
        <f t="shared" si="5"/>
        <v>Regular Customer</v>
      </c>
    </row>
    <row r="149" spans="1:12" ht="15.75" customHeight="1" x14ac:dyDescent="0.3">
      <c r="A149" s="14">
        <v>45642</v>
      </c>
      <c r="B149" s="15" t="s">
        <v>563</v>
      </c>
      <c r="C149" s="15" t="s">
        <v>13</v>
      </c>
      <c r="D149" s="15" t="s">
        <v>19</v>
      </c>
      <c r="E149" s="16">
        <v>10.75</v>
      </c>
      <c r="F149" s="15" t="s">
        <v>11</v>
      </c>
      <c r="G149" s="15">
        <v>10.75</v>
      </c>
      <c r="H149" s="17">
        <f t="shared" si="4"/>
        <v>12</v>
      </c>
      <c r="I149" s="17">
        <f>YEAR(Sheet1!$A149)</f>
        <v>2024</v>
      </c>
      <c r="J149" s="17">
        <f>DAY(Sheet1!$A149)</f>
        <v>16</v>
      </c>
      <c r="K149" s="18" t="s">
        <v>2022</v>
      </c>
      <c r="L149" s="19" t="str">
        <f t="shared" si="5"/>
        <v>Regular Customer</v>
      </c>
    </row>
    <row r="150" spans="1:12" ht="15.75" customHeight="1" x14ac:dyDescent="0.3">
      <c r="A150" s="7">
        <v>45533</v>
      </c>
      <c r="B150" s="8" t="s">
        <v>502</v>
      </c>
      <c r="C150" s="8" t="s">
        <v>13</v>
      </c>
      <c r="D150" s="8" t="s">
        <v>19</v>
      </c>
      <c r="E150" s="9">
        <v>10.76</v>
      </c>
      <c r="F150" s="8" t="s">
        <v>11</v>
      </c>
      <c r="G150" s="8">
        <v>10.76</v>
      </c>
      <c r="H150" s="10">
        <f t="shared" si="4"/>
        <v>8</v>
      </c>
      <c r="I150" s="10">
        <f>YEAR(Sheet1!$A150)</f>
        <v>2024</v>
      </c>
      <c r="J150" s="10">
        <f>DAY(Sheet1!$A150)</f>
        <v>29</v>
      </c>
      <c r="K150" s="12" t="s">
        <v>2023</v>
      </c>
      <c r="L150" s="13" t="str">
        <f t="shared" si="5"/>
        <v>Regular Customer</v>
      </c>
    </row>
    <row r="151" spans="1:12" ht="15.75" customHeight="1" x14ac:dyDescent="0.3">
      <c r="A151" s="14">
        <v>45722</v>
      </c>
      <c r="B151" s="15" t="s">
        <v>976</v>
      </c>
      <c r="C151" s="15" t="s">
        <v>8</v>
      </c>
      <c r="D151" s="15" t="s">
        <v>14</v>
      </c>
      <c r="E151" s="16">
        <v>10.78</v>
      </c>
      <c r="F151" s="15" t="s">
        <v>10</v>
      </c>
      <c r="G151" s="15">
        <v>10.78</v>
      </c>
      <c r="H151" s="17">
        <f t="shared" si="4"/>
        <v>3</v>
      </c>
      <c r="I151" s="17">
        <f>YEAR(Sheet1!$A151)</f>
        <v>2025</v>
      </c>
      <c r="J151" s="17">
        <f>DAY(Sheet1!$A151)</f>
        <v>6</v>
      </c>
      <c r="K151" s="18" t="s">
        <v>2023</v>
      </c>
      <c r="L151" s="19" t="str">
        <f t="shared" si="5"/>
        <v>Regular Customer</v>
      </c>
    </row>
    <row r="152" spans="1:12" ht="15.75" customHeight="1" x14ac:dyDescent="0.3">
      <c r="A152" s="7">
        <v>45738</v>
      </c>
      <c r="B152" s="8" t="s">
        <v>226</v>
      </c>
      <c r="C152" s="8" t="s">
        <v>24</v>
      </c>
      <c r="D152" s="8" t="s">
        <v>14</v>
      </c>
      <c r="E152" s="9">
        <v>10.79</v>
      </c>
      <c r="F152" s="8" t="s">
        <v>10</v>
      </c>
      <c r="G152" s="8">
        <v>10.79</v>
      </c>
      <c r="H152" s="10">
        <f t="shared" si="4"/>
        <v>3</v>
      </c>
      <c r="I152" s="10">
        <f>YEAR(Sheet1!$A152)</f>
        <v>2025</v>
      </c>
      <c r="J152" s="10">
        <f>DAY(Sheet1!$A152)</f>
        <v>22</v>
      </c>
      <c r="K152" s="12" t="s">
        <v>2022</v>
      </c>
      <c r="L152" s="13" t="str">
        <f t="shared" si="5"/>
        <v>Regular Customer</v>
      </c>
    </row>
    <row r="153" spans="1:12" ht="15.75" customHeight="1" x14ac:dyDescent="0.3">
      <c r="A153" s="14">
        <v>45658</v>
      </c>
      <c r="B153" s="15" t="s">
        <v>1176</v>
      </c>
      <c r="C153" s="15" t="s">
        <v>13</v>
      </c>
      <c r="D153" s="15" t="s">
        <v>16</v>
      </c>
      <c r="E153" s="16">
        <v>5.4</v>
      </c>
      <c r="F153" s="15" t="s">
        <v>11</v>
      </c>
      <c r="G153" s="15">
        <v>10.8</v>
      </c>
      <c r="H153" s="17">
        <f t="shared" si="4"/>
        <v>1</v>
      </c>
      <c r="I153" s="17">
        <f>YEAR(Sheet1!$A153)</f>
        <v>2025</v>
      </c>
      <c r="J153" s="17">
        <f>DAY(Sheet1!$A153)</f>
        <v>1</v>
      </c>
      <c r="K153" s="18" t="s">
        <v>2023</v>
      </c>
      <c r="L153" s="19" t="str">
        <f t="shared" si="5"/>
        <v>Regular Customer</v>
      </c>
    </row>
    <row r="154" spans="1:12" ht="15.75" customHeight="1" x14ac:dyDescent="0.3">
      <c r="A154" s="7">
        <v>45460</v>
      </c>
      <c r="B154" s="8" t="s">
        <v>1298</v>
      </c>
      <c r="C154" s="8" t="s">
        <v>24</v>
      </c>
      <c r="D154" s="8" t="s">
        <v>16</v>
      </c>
      <c r="E154" s="9">
        <v>5.41</v>
      </c>
      <c r="F154" s="8" t="s">
        <v>10</v>
      </c>
      <c r="G154" s="8">
        <v>10.82</v>
      </c>
      <c r="H154" s="10">
        <f t="shared" si="4"/>
        <v>6</v>
      </c>
      <c r="I154" s="10">
        <f>YEAR(Sheet1!$A154)</f>
        <v>2024</v>
      </c>
      <c r="J154" s="10">
        <f>DAY(Sheet1!$A154)</f>
        <v>17</v>
      </c>
      <c r="K154" s="12" t="s">
        <v>2022</v>
      </c>
      <c r="L154" s="13" t="str">
        <f t="shared" si="5"/>
        <v>Regular Customer</v>
      </c>
    </row>
    <row r="155" spans="1:12" ht="15.75" customHeight="1" x14ac:dyDescent="0.3">
      <c r="A155" s="14">
        <v>45718</v>
      </c>
      <c r="B155" s="15" t="s">
        <v>158</v>
      </c>
      <c r="C155" s="15" t="s">
        <v>18</v>
      </c>
      <c r="D155" s="15" t="s">
        <v>9</v>
      </c>
      <c r="E155" s="16">
        <v>10.82</v>
      </c>
      <c r="F155" s="15" t="s">
        <v>11</v>
      </c>
      <c r="G155" s="15">
        <v>10.82</v>
      </c>
      <c r="H155" s="17">
        <f t="shared" si="4"/>
        <v>3</v>
      </c>
      <c r="I155" s="17">
        <f>YEAR(Sheet1!$A155)</f>
        <v>2025</v>
      </c>
      <c r="J155" s="17">
        <f>DAY(Sheet1!$A155)</f>
        <v>2</v>
      </c>
      <c r="K155" s="18" t="s">
        <v>2022</v>
      </c>
      <c r="L155" s="19" t="str">
        <f t="shared" si="5"/>
        <v>Regular Customer</v>
      </c>
    </row>
    <row r="156" spans="1:12" ht="15.75" customHeight="1" x14ac:dyDescent="0.3">
      <c r="A156" s="7">
        <v>45766</v>
      </c>
      <c r="B156" s="8" t="s">
        <v>1692</v>
      </c>
      <c r="C156" s="8" t="s">
        <v>8</v>
      </c>
      <c r="D156" s="8" t="s">
        <v>9</v>
      </c>
      <c r="E156" s="9">
        <v>5.41</v>
      </c>
      <c r="F156" s="8" t="s">
        <v>10</v>
      </c>
      <c r="G156" s="8">
        <v>10.82</v>
      </c>
      <c r="H156" s="10">
        <f t="shared" si="4"/>
        <v>4</v>
      </c>
      <c r="I156" s="10">
        <f>YEAR(Sheet1!$A156)</f>
        <v>2025</v>
      </c>
      <c r="J156" s="10">
        <f>DAY(Sheet1!$A156)</f>
        <v>19</v>
      </c>
      <c r="K156" s="12" t="s">
        <v>2022</v>
      </c>
      <c r="L156" s="13" t="str">
        <f t="shared" si="5"/>
        <v>Regular Customer</v>
      </c>
    </row>
    <row r="157" spans="1:12" ht="15.75" customHeight="1" x14ac:dyDescent="0.3">
      <c r="A157" s="14">
        <v>45606</v>
      </c>
      <c r="B157" s="15" t="s">
        <v>702</v>
      </c>
      <c r="C157" s="15" t="s">
        <v>13</v>
      </c>
      <c r="D157" s="15" t="s">
        <v>16</v>
      </c>
      <c r="E157" s="16">
        <v>10.84</v>
      </c>
      <c r="F157" s="15" t="s">
        <v>11</v>
      </c>
      <c r="G157" s="15">
        <v>10.84</v>
      </c>
      <c r="H157" s="17">
        <f t="shared" si="4"/>
        <v>11</v>
      </c>
      <c r="I157" s="17">
        <f>YEAR(Sheet1!$A157)</f>
        <v>2024</v>
      </c>
      <c r="J157" s="17">
        <f>DAY(Sheet1!$A157)</f>
        <v>10</v>
      </c>
      <c r="K157" s="18" t="s">
        <v>2022</v>
      </c>
      <c r="L157" s="19" t="str">
        <f t="shared" si="5"/>
        <v>Regular Customer</v>
      </c>
    </row>
    <row r="158" spans="1:12" ht="15.75" customHeight="1" x14ac:dyDescent="0.3">
      <c r="A158" s="7">
        <v>45628</v>
      </c>
      <c r="B158" s="8" t="s">
        <v>1784</v>
      </c>
      <c r="C158" s="8" t="s">
        <v>13</v>
      </c>
      <c r="D158" s="8" t="s">
        <v>16</v>
      </c>
      <c r="E158" s="9">
        <v>10.91</v>
      </c>
      <c r="F158" s="8" t="s">
        <v>10</v>
      </c>
      <c r="G158" s="8">
        <v>10.91</v>
      </c>
      <c r="H158" s="10">
        <f t="shared" si="4"/>
        <v>12</v>
      </c>
      <c r="I158" s="10">
        <f>YEAR(Sheet1!$A158)</f>
        <v>2024</v>
      </c>
      <c r="J158" s="10">
        <f>DAY(Sheet1!$A158)</f>
        <v>2</v>
      </c>
      <c r="K158" s="12" t="s">
        <v>2022</v>
      </c>
      <c r="L158" s="13" t="str">
        <f t="shared" si="5"/>
        <v>Regular Customer</v>
      </c>
    </row>
    <row r="159" spans="1:12" ht="15.75" customHeight="1" x14ac:dyDescent="0.3">
      <c r="A159" s="14">
        <v>45609</v>
      </c>
      <c r="B159" s="15" t="s">
        <v>261</v>
      </c>
      <c r="C159" s="15" t="s">
        <v>24</v>
      </c>
      <c r="D159" s="15" t="s">
        <v>9</v>
      </c>
      <c r="E159" s="16">
        <v>5.47</v>
      </c>
      <c r="F159" s="15" t="s">
        <v>11</v>
      </c>
      <c r="G159" s="15">
        <v>10.94</v>
      </c>
      <c r="H159" s="17">
        <f t="shared" si="4"/>
        <v>11</v>
      </c>
      <c r="I159" s="17">
        <f>YEAR(Sheet1!$A159)</f>
        <v>2024</v>
      </c>
      <c r="J159" s="17">
        <f>DAY(Sheet1!$A159)</f>
        <v>13</v>
      </c>
      <c r="K159" s="18" t="s">
        <v>2022</v>
      </c>
      <c r="L159" s="19" t="str">
        <f t="shared" si="5"/>
        <v>Regular Customer</v>
      </c>
    </row>
    <row r="160" spans="1:12" ht="15.75" customHeight="1" x14ac:dyDescent="0.3">
      <c r="A160" s="7">
        <v>45600</v>
      </c>
      <c r="B160" s="8" t="s">
        <v>1864</v>
      </c>
      <c r="C160" s="8" t="s">
        <v>18</v>
      </c>
      <c r="D160" s="8" t="s">
        <v>19</v>
      </c>
      <c r="E160" s="9">
        <v>10.95</v>
      </c>
      <c r="F160" s="8" t="s">
        <v>10</v>
      </c>
      <c r="G160" s="8">
        <v>10.95</v>
      </c>
      <c r="H160" s="10">
        <f t="shared" si="4"/>
        <v>11</v>
      </c>
      <c r="I160" s="10">
        <f>YEAR(Sheet1!$A160)</f>
        <v>2024</v>
      </c>
      <c r="J160" s="10">
        <f>DAY(Sheet1!$A160)</f>
        <v>4</v>
      </c>
      <c r="K160" s="12" t="s">
        <v>2022</v>
      </c>
      <c r="L160" s="13" t="str">
        <f t="shared" si="5"/>
        <v>Regular Customer</v>
      </c>
    </row>
    <row r="161" spans="1:12" ht="15.75" customHeight="1" x14ac:dyDescent="0.3">
      <c r="A161" s="14">
        <v>45592</v>
      </c>
      <c r="B161" s="15" t="s">
        <v>601</v>
      </c>
      <c r="C161" s="15" t="s">
        <v>13</v>
      </c>
      <c r="D161" s="15" t="s">
        <v>19</v>
      </c>
      <c r="E161" s="16">
        <v>5.48</v>
      </c>
      <c r="F161" s="15" t="s">
        <v>11</v>
      </c>
      <c r="G161" s="15">
        <v>10.96</v>
      </c>
      <c r="H161" s="17">
        <f t="shared" si="4"/>
        <v>10</v>
      </c>
      <c r="I161" s="17">
        <f>YEAR(Sheet1!$A161)</f>
        <v>2024</v>
      </c>
      <c r="J161" s="17">
        <f>DAY(Sheet1!$A161)</f>
        <v>27</v>
      </c>
      <c r="K161" s="18" t="s">
        <v>2023</v>
      </c>
      <c r="L161" s="19" t="str">
        <f t="shared" si="5"/>
        <v>Regular Customer</v>
      </c>
    </row>
    <row r="162" spans="1:12" ht="15.75" customHeight="1" x14ac:dyDescent="0.3">
      <c r="A162" s="7">
        <v>45641</v>
      </c>
      <c r="B162" s="8" t="s">
        <v>1901</v>
      </c>
      <c r="C162" s="8" t="s">
        <v>18</v>
      </c>
      <c r="D162" s="8" t="s">
        <v>16</v>
      </c>
      <c r="E162" s="9">
        <v>10.99</v>
      </c>
      <c r="F162" s="8" t="s">
        <v>10</v>
      </c>
      <c r="G162" s="8">
        <v>10.99</v>
      </c>
      <c r="H162" s="10">
        <f t="shared" si="4"/>
        <v>12</v>
      </c>
      <c r="I162" s="10">
        <f>YEAR(Sheet1!$A162)</f>
        <v>2024</v>
      </c>
      <c r="J162" s="10">
        <f>DAY(Sheet1!$A162)</f>
        <v>15</v>
      </c>
      <c r="K162" s="12" t="s">
        <v>2022</v>
      </c>
      <c r="L162" s="13" t="str">
        <f t="shared" si="5"/>
        <v>Regular Customer</v>
      </c>
    </row>
    <row r="163" spans="1:12" ht="15.75" customHeight="1" x14ac:dyDescent="0.3">
      <c r="A163" s="14">
        <v>45732</v>
      </c>
      <c r="B163" s="15" t="s">
        <v>527</v>
      </c>
      <c r="C163" s="15" t="s">
        <v>18</v>
      </c>
      <c r="D163" s="15" t="s">
        <v>16</v>
      </c>
      <c r="E163" s="16">
        <v>5.51</v>
      </c>
      <c r="F163" s="15" t="s">
        <v>11</v>
      </c>
      <c r="G163" s="15">
        <v>11.02</v>
      </c>
      <c r="H163" s="17">
        <f t="shared" si="4"/>
        <v>3</v>
      </c>
      <c r="I163" s="17">
        <f>YEAR(Sheet1!$A163)</f>
        <v>2025</v>
      </c>
      <c r="J163" s="17">
        <f>DAY(Sheet1!$A163)</f>
        <v>16</v>
      </c>
      <c r="K163" s="18" t="s">
        <v>2022</v>
      </c>
      <c r="L163" s="19" t="str">
        <f t="shared" si="5"/>
        <v>Regular Customer</v>
      </c>
    </row>
    <row r="164" spans="1:12" ht="15.75" customHeight="1" x14ac:dyDescent="0.3">
      <c r="A164" s="7">
        <v>45435</v>
      </c>
      <c r="B164" s="8" t="s">
        <v>405</v>
      </c>
      <c r="C164" s="8" t="s">
        <v>18</v>
      </c>
      <c r="D164" s="8" t="s">
        <v>14</v>
      </c>
      <c r="E164" s="9">
        <v>11.04</v>
      </c>
      <c r="F164" s="8" t="s">
        <v>11</v>
      </c>
      <c r="G164" s="8">
        <v>11.04</v>
      </c>
      <c r="H164" s="10">
        <f t="shared" si="4"/>
        <v>5</v>
      </c>
      <c r="I164" s="10">
        <f>YEAR(Sheet1!$A164)</f>
        <v>2024</v>
      </c>
      <c r="J164" s="10">
        <f>DAY(Sheet1!$A164)</f>
        <v>23</v>
      </c>
      <c r="K164" s="12" t="s">
        <v>2022</v>
      </c>
      <c r="L164" s="13" t="str">
        <f t="shared" si="5"/>
        <v>Regular Customer</v>
      </c>
    </row>
    <row r="165" spans="1:12" ht="15.75" customHeight="1" x14ac:dyDescent="0.3">
      <c r="A165" s="14">
        <v>45555</v>
      </c>
      <c r="B165" s="15" t="s">
        <v>815</v>
      </c>
      <c r="C165" s="15" t="s">
        <v>8</v>
      </c>
      <c r="D165" s="15" t="s">
        <v>16</v>
      </c>
      <c r="E165" s="16">
        <v>11.05</v>
      </c>
      <c r="F165" s="15" t="s">
        <v>10</v>
      </c>
      <c r="G165" s="15">
        <v>11.05</v>
      </c>
      <c r="H165" s="17">
        <f t="shared" si="4"/>
        <v>9</v>
      </c>
      <c r="I165" s="17">
        <f>YEAR(Sheet1!$A165)</f>
        <v>2024</v>
      </c>
      <c r="J165" s="17">
        <f>DAY(Sheet1!$A165)</f>
        <v>20</v>
      </c>
      <c r="K165" s="18" t="s">
        <v>2022</v>
      </c>
      <c r="L165" s="19" t="str">
        <f t="shared" si="5"/>
        <v>Regular Customer</v>
      </c>
    </row>
    <row r="166" spans="1:12" ht="15.75" customHeight="1" x14ac:dyDescent="0.3">
      <c r="A166" s="7">
        <v>45702</v>
      </c>
      <c r="B166" s="8" t="s">
        <v>1489</v>
      </c>
      <c r="C166" s="8" t="s">
        <v>13</v>
      </c>
      <c r="D166" s="8" t="s">
        <v>9</v>
      </c>
      <c r="E166" s="9">
        <v>11.06</v>
      </c>
      <c r="F166" s="8" t="s">
        <v>11</v>
      </c>
      <c r="G166" s="8">
        <v>11.06</v>
      </c>
      <c r="H166" s="10">
        <f t="shared" si="4"/>
        <v>2</v>
      </c>
      <c r="I166" s="10">
        <f>YEAR(Sheet1!$A166)</f>
        <v>2025</v>
      </c>
      <c r="J166" s="10">
        <f>DAY(Sheet1!$A166)</f>
        <v>14</v>
      </c>
      <c r="K166" s="12" t="s">
        <v>2022</v>
      </c>
      <c r="L166" s="13" t="str">
        <f t="shared" si="5"/>
        <v>Regular Customer</v>
      </c>
    </row>
    <row r="167" spans="1:12" ht="15.75" customHeight="1" x14ac:dyDescent="0.3">
      <c r="A167" s="14">
        <v>45778</v>
      </c>
      <c r="B167" s="15" t="s">
        <v>1961</v>
      </c>
      <c r="C167" s="15" t="s">
        <v>18</v>
      </c>
      <c r="D167" s="15" t="s">
        <v>9</v>
      </c>
      <c r="E167" s="16">
        <v>5.53</v>
      </c>
      <c r="F167" s="15" t="s">
        <v>10</v>
      </c>
      <c r="G167" s="15">
        <v>11.06</v>
      </c>
      <c r="H167" s="17">
        <f t="shared" si="4"/>
        <v>5</v>
      </c>
      <c r="I167" s="17">
        <f>YEAR(Sheet1!$A167)</f>
        <v>2025</v>
      </c>
      <c r="J167" s="17">
        <f>DAY(Sheet1!$A167)</f>
        <v>1</v>
      </c>
      <c r="K167" s="18" t="s">
        <v>2023</v>
      </c>
      <c r="L167" s="19" t="str">
        <f t="shared" si="5"/>
        <v>Regular Customer</v>
      </c>
    </row>
    <row r="168" spans="1:12" ht="15.75" customHeight="1" x14ac:dyDescent="0.3">
      <c r="A168" s="7">
        <v>45545</v>
      </c>
      <c r="B168" s="8" t="s">
        <v>1202</v>
      </c>
      <c r="C168" s="8" t="s">
        <v>18</v>
      </c>
      <c r="D168" s="8" t="s">
        <v>9</v>
      </c>
      <c r="E168" s="9">
        <v>11.07</v>
      </c>
      <c r="F168" s="8" t="s">
        <v>10</v>
      </c>
      <c r="G168" s="8">
        <v>11.07</v>
      </c>
      <c r="H168" s="10">
        <f t="shared" si="4"/>
        <v>9</v>
      </c>
      <c r="I168" s="10">
        <f>YEAR(Sheet1!$A168)</f>
        <v>2024</v>
      </c>
      <c r="J168" s="10">
        <f>DAY(Sheet1!$A168)</f>
        <v>10</v>
      </c>
      <c r="K168" s="12" t="s">
        <v>2023</v>
      </c>
      <c r="L168" s="13" t="str">
        <f t="shared" si="5"/>
        <v>Regular Customer</v>
      </c>
    </row>
    <row r="169" spans="1:12" ht="15.75" customHeight="1" x14ac:dyDescent="0.3">
      <c r="A169" s="14">
        <v>45624</v>
      </c>
      <c r="B169" s="15" t="s">
        <v>1401</v>
      </c>
      <c r="C169" s="15" t="s">
        <v>8</v>
      </c>
      <c r="D169" s="15" t="s">
        <v>9</v>
      </c>
      <c r="E169" s="16">
        <v>11.1</v>
      </c>
      <c r="F169" s="15" t="s">
        <v>10</v>
      </c>
      <c r="G169" s="15">
        <v>11.1</v>
      </c>
      <c r="H169" s="17">
        <f t="shared" si="4"/>
        <v>11</v>
      </c>
      <c r="I169" s="17">
        <f>YEAR(Sheet1!$A169)</f>
        <v>2024</v>
      </c>
      <c r="J169" s="17">
        <f>DAY(Sheet1!$A169)</f>
        <v>28</v>
      </c>
      <c r="K169" s="18" t="s">
        <v>2022</v>
      </c>
      <c r="L169" s="19" t="str">
        <f t="shared" si="5"/>
        <v>Regular Customer</v>
      </c>
    </row>
    <row r="170" spans="1:12" ht="15.75" customHeight="1" x14ac:dyDescent="0.3">
      <c r="A170" s="7">
        <v>45642</v>
      </c>
      <c r="B170" s="8" t="s">
        <v>73</v>
      </c>
      <c r="C170" s="8" t="s">
        <v>13</v>
      </c>
      <c r="D170" s="8" t="s">
        <v>19</v>
      </c>
      <c r="E170" s="9">
        <v>5.57</v>
      </c>
      <c r="F170" s="8" t="s">
        <v>11</v>
      </c>
      <c r="G170" s="8">
        <v>11.14</v>
      </c>
      <c r="H170" s="10">
        <f t="shared" si="4"/>
        <v>12</v>
      </c>
      <c r="I170" s="10">
        <f>YEAR(Sheet1!$A170)</f>
        <v>2024</v>
      </c>
      <c r="J170" s="10">
        <f>DAY(Sheet1!$A170)</f>
        <v>16</v>
      </c>
      <c r="K170" s="12" t="s">
        <v>2022</v>
      </c>
      <c r="L170" s="13" t="str">
        <f t="shared" si="5"/>
        <v>Regular Customer</v>
      </c>
    </row>
    <row r="171" spans="1:12" ht="15.75" customHeight="1" x14ac:dyDescent="0.3">
      <c r="A171" s="14">
        <v>45742</v>
      </c>
      <c r="B171" s="15" t="s">
        <v>953</v>
      </c>
      <c r="C171" s="15" t="s">
        <v>24</v>
      </c>
      <c r="D171" s="15" t="s">
        <v>19</v>
      </c>
      <c r="E171" s="16">
        <v>5.57</v>
      </c>
      <c r="F171" s="15" t="s">
        <v>10</v>
      </c>
      <c r="G171" s="15">
        <v>11.14</v>
      </c>
      <c r="H171" s="17">
        <f t="shared" si="4"/>
        <v>3</v>
      </c>
      <c r="I171" s="17">
        <f>YEAR(Sheet1!$A171)</f>
        <v>2025</v>
      </c>
      <c r="J171" s="17">
        <f>DAY(Sheet1!$A171)</f>
        <v>26</v>
      </c>
      <c r="K171" s="18" t="s">
        <v>2022</v>
      </c>
      <c r="L171" s="19" t="str">
        <f t="shared" si="5"/>
        <v>Regular Customer</v>
      </c>
    </row>
    <row r="172" spans="1:12" ht="15.75" customHeight="1" x14ac:dyDescent="0.3">
      <c r="A172" s="7">
        <v>45445</v>
      </c>
      <c r="B172" s="8" t="s">
        <v>378</v>
      </c>
      <c r="C172" s="8" t="s">
        <v>8</v>
      </c>
      <c r="D172" s="8" t="s">
        <v>9</v>
      </c>
      <c r="E172" s="9">
        <v>5.58</v>
      </c>
      <c r="F172" s="8" t="s">
        <v>11</v>
      </c>
      <c r="G172" s="8">
        <v>11.16</v>
      </c>
      <c r="H172" s="10">
        <f t="shared" si="4"/>
        <v>6</v>
      </c>
      <c r="I172" s="10">
        <f>YEAR(Sheet1!$A172)</f>
        <v>2024</v>
      </c>
      <c r="J172" s="10">
        <f>DAY(Sheet1!$A172)</f>
        <v>2</v>
      </c>
      <c r="K172" s="12" t="s">
        <v>2023</v>
      </c>
      <c r="L172" s="13" t="str">
        <f t="shared" si="5"/>
        <v>Regular Customer</v>
      </c>
    </row>
    <row r="173" spans="1:12" ht="15.75" customHeight="1" x14ac:dyDescent="0.3">
      <c r="A173" s="14">
        <v>45501</v>
      </c>
      <c r="B173" s="15" t="s">
        <v>833</v>
      </c>
      <c r="C173" s="15" t="s">
        <v>24</v>
      </c>
      <c r="D173" s="15" t="s">
        <v>14</v>
      </c>
      <c r="E173" s="16">
        <v>11.25</v>
      </c>
      <c r="F173" s="15" t="s">
        <v>11</v>
      </c>
      <c r="G173" s="15">
        <v>11.25</v>
      </c>
      <c r="H173" s="17">
        <f t="shared" si="4"/>
        <v>7</v>
      </c>
      <c r="I173" s="17">
        <f>YEAR(Sheet1!$A173)</f>
        <v>2024</v>
      </c>
      <c r="J173" s="17">
        <f>DAY(Sheet1!$A173)</f>
        <v>28</v>
      </c>
      <c r="K173" s="18" t="s">
        <v>2023</v>
      </c>
      <c r="L173" s="19" t="str">
        <f t="shared" si="5"/>
        <v>Regular Customer</v>
      </c>
    </row>
    <row r="174" spans="1:12" ht="15.75" customHeight="1" x14ac:dyDescent="0.3">
      <c r="A174" s="7">
        <v>45748</v>
      </c>
      <c r="B174" s="8" t="s">
        <v>78</v>
      </c>
      <c r="C174" s="8" t="s">
        <v>13</v>
      </c>
      <c r="D174" s="8" t="s">
        <v>16</v>
      </c>
      <c r="E174" s="9">
        <v>5.64</v>
      </c>
      <c r="F174" s="8" t="s">
        <v>11</v>
      </c>
      <c r="G174" s="8">
        <v>11.28</v>
      </c>
      <c r="H174" s="10">
        <f t="shared" si="4"/>
        <v>4</v>
      </c>
      <c r="I174" s="10">
        <f>YEAR(Sheet1!$A174)</f>
        <v>2025</v>
      </c>
      <c r="J174" s="10">
        <f>DAY(Sheet1!$A174)</f>
        <v>1</v>
      </c>
      <c r="K174" s="12" t="s">
        <v>2022</v>
      </c>
      <c r="L174" s="13" t="str">
        <f t="shared" si="5"/>
        <v>Regular Customer</v>
      </c>
    </row>
    <row r="175" spans="1:12" ht="15.75" customHeight="1" x14ac:dyDescent="0.3">
      <c r="A175" s="14">
        <v>45584</v>
      </c>
      <c r="B175" s="15" t="s">
        <v>749</v>
      </c>
      <c r="C175" s="15" t="s">
        <v>18</v>
      </c>
      <c r="D175" s="15" t="s">
        <v>16</v>
      </c>
      <c r="E175" s="16">
        <v>11.33</v>
      </c>
      <c r="F175" s="15" t="s">
        <v>10</v>
      </c>
      <c r="G175" s="15">
        <v>11.33</v>
      </c>
      <c r="H175" s="17">
        <f t="shared" si="4"/>
        <v>10</v>
      </c>
      <c r="I175" s="17">
        <f>YEAR(Sheet1!$A175)</f>
        <v>2024</v>
      </c>
      <c r="J175" s="17">
        <f>DAY(Sheet1!$A175)</f>
        <v>19</v>
      </c>
      <c r="K175" s="18" t="s">
        <v>2023</v>
      </c>
      <c r="L175" s="19" t="str">
        <f t="shared" si="5"/>
        <v>Regular Customer</v>
      </c>
    </row>
    <row r="176" spans="1:12" ht="15.75" customHeight="1" x14ac:dyDescent="0.3">
      <c r="A176" s="7">
        <v>45501</v>
      </c>
      <c r="B176" s="8" t="s">
        <v>1557</v>
      </c>
      <c r="C176" s="8" t="s">
        <v>18</v>
      </c>
      <c r="D176" s="8" t="s">
        <v>9</v>
      </c>
      <c r="E176" s="9">
        <v>5.68</v>
      </c>
      <c r="F176" s="8" t="s">
        <v>10</v>
      </c>
      <c r="G176" s="8">
        <v>11.36</v>
      </c>
      <c r="H176" s="10">
        <f t="shared" si="4"/>
        <v>7</v>
      </c>
      <c r="I176" s="10">
        <f>YEAR(Sheet1!$A176)</f>
        <v>2024</v>
      </c>
      <c r="J176" s="10">
        <f>DAY(Sheet1!$A176)</f>
        <v>28</v>
      </c>
      <c r="K176" s="12" t="s">
        <v>2022</v>
      </c>
      <c r="L176" s="13" t="str">
        <f t="shared" si="5"/>
        <v>Regular Customer</v>
      </c>
    </row>
    <row r="177" spans="1:12" ht="15.75" customHeight="1" x14ac:dyDescent="0.3">
      <c r="A177" s="14">
        <v>45458</v>
      </c>
      <c r="B177" s="15" t="s">
        <v>1258</v>
      </c>
      <c r="C177" s="15" t="s">
        <v>13</v>
      </c>
      <c r="D177" s="15" t="s">
        <v>19</v>
      </c>
      <c r="E177" s="16">
        <v>11.41</v>
      </c>
      <c r="F177" s="15" t="s">
        <v>10</v>
      </c>
      <c r="G177" s="15">
        <v>11.41</v>
      </c>
      <c r="H177" s="17">
        <f t="shared" si="4"/>
        <v>6</v>
      </c>
      <c r="I177" s="17">
        <f>YEAR(Sheet1!$A177)</f>
        <v>2024</v>
      </c>
      <c r="J177" s="17">
        <f>DAY(Sheet1!$A177)</f>
        <v>15</v>
      </c>
      <c r="K177" s="18" t="s">
        <v>2023</v>
      </c>
      <c r="L177" s="19" t="str">
        <f t="shared" si="5"/>
        <v>Regular Customer</v>
      </c>
    </row>
    <row r="178" spans="1:12" ht="15.75" customHeight="1" x14ac:dyDescent="0.3">
      <c r="A178" s="7">
        <v>45606</v>
      </c>
      <c r="B178" s="8" t="s">
        <v>1654</v>
      </c>
      <c r="C178" s="8" t="s">
        <v>8</v>
      </c>
      <c r="D178" s="8" t="s">
        <v>16</v>
      </c>
      <c r="E178" s="9">
        <v>11.44</v>
      </c>
      <c r="F178" s="8" t="s">
        <v>11</v>
      </c>
      <c r="G178" s="8">
        <v>11.44</v>
      </c>
      <c r="H178" s="10">
        <f t="shared" si="4"/>
        <v>11</v>
      </c>
      <c r="I178" s="10">
        <f>YEAR(Sheet1!$A178)</f>
        <v>2024</v>
      </c>
      <c r="J178" s="10">
        <f>DAY(Sheet1!$A178)</f>
        <v>10</v>
      </c>
      <c r="K178" s="12" t="s">
        <v>2023</v>
      </c>
      <c r="L178" s="13" t="str">
        <f t="shared" si="5"/>
        <v>Regular Customer</v>
      </c>
    </row>
    <row r="179" spans="1:12" ht="15.75" customHeight="1" x14ac:dyDescent="0.3">
      <c r="A179" s="14">
        <v>45636</v>
      </c>
      <c r="B179" s="15" t="s">
        <v>1894</v>
      </c>
      <c r="C179" s="15" t="s">
        <v>8</v>
      </c>
      <c r="D179" s="15" t="s">
        <v>14</v>
      </c>
      <c r="E179" s="16">
        <v>5.73</v>
      </c>
      <c r="F179" s="15" t="s">
        <v>10</v>
      </c>
      <c r="G179" s="15">
        <v>11.46</v>
      </c>
      <c r="H179" s="17">
        <f t="shared" si="4"/>
        <v>12</v>
      </c>
      <c r="I179" s="17">
        <f>YEAR(Sheet1!$A179)</f>
        <v>2024</v>
      </c>
      <c r="J179" s="17">
        <f>DAY(Sheet1!$A179)</f>
        <v>10</v>
      </c>
      <c r="K179" s="18" t="s">
        <v>2022</v>
      </c>
      <c r="L179" s="19" t="str">
        <f t="shared" si="5"/>
        <v>Regular Customer</v>
      </c>
    </row>
    <row r="180" spans="1:12" ht="15.75" customHeight="1" x14ac:dyDescent="0.3">
      <c r="A180" s="7">
        <v>45678</v>
      </c>
      <c r="B180" s="8" t="s">
        <v>1552</v>
      </c>
      <c r="C180" s="8" t="s">
        <v>18</v>
      </c>
      <c r="D180" s="8" t="s">
        <v>9</v>
      </c>
      <c r="E180" s="9">
        <v>11.47</v>
      </c>
      <c r="F180" s="8" t="s">
        <v>10</v>
      </c>
      <c r="G180" s="8">
        <v>11.47</v>
      </c>
      <c r="H180" s="10">
        <f t="shared" si="4"/>
        <v>1</v>
      </c>
      <c r="I180" s="10">
        <f>YEAR(Sheet1!$A180)</f>
        <v>2025</v>
      </c>
      <c r="J180" s="10">
        <f>DAY(Sheet1!$A180)</f>
        <v>21</v>
      </c>
      <c r="K180" s="12" t="s">
        <v>2022</v>
      </c>
      <c r="L180" s="13" t="str">
        <f t="shared" si="5"/>
        <v>Regular Customer</v>
      </c>
    </row>
    <row r="181" spans="1:12" ht="15.75" customHeight="1" x14ac:dyDescent="0.3">
      <c r="A181" s="14">
        <v>45521</v>
      </c>
      <c r="B181" s="15" t="s">
        <v>697</v>
      </c>
      <c r="C181" s="15" t="s">
        <v>24</v>
      </c>
      <c r="D181" s="15" t="s">
        <v>9</v>
      </c>
      <c r="E181" s="16">
        <v>11.52</v>
      </c>
      <c r="F181" s="15" t="s">
        <v>10</v>
      </c>
      <c r="G181" s="15">
        <v>11.52</v>
      </c>
      <c r="H181" s="17">
        <f t="shared" si="4"/>
        <v>8</v>
      </c>
      <c r="I181" s="17">
        <f>YEAR(Sheet1!$A181)</f>
        <v>2024</v>
      </c>
      <c r="J181" s="17">
        <f>DAY(Sheet1!$A181)</f>
        <v>17</v>
      </c>
      <c r="K181" s="18" t="s">
        <v>2022</v>
      </c>
      <c r="L181" s="19" t="str">
        <f t="shared" si="5"/>
        <v>Regular Customer</v>
      </c>
    </row>
    <row r="182" spans="1:12" ht="15.75" customHeight="1" x14ac:dyDescent="0.3">
      <c r="A182" s="7">
        <v>45648</v>
      </c>
      <c r="B182" s="8" t="s">
        <v>383</v>
      </c>
      <c r="C182" s="8" t="s">
        <v>24</v>
      </c>
      <c r="D182" s="8" t="s">
        <v>14</v>
      </c>
      <c r="E182" s="9">
        <v>11.53</v>
      </c>
      <c r="F182" s="8" t="s">
        <v>10</v>
      </c>
      <c r="G182" s="8">
        <v>11.53</v>
      </c>
      <c r="H182" s="10">
        <f t="shared" si="4"/>
        <v>12</v>
      </c>
      <c r="I182" s="10">
        <f>YEAR(Sheet1!$A182)</f>
        <v>2024</v>
      </c>
      <c r="J182" s="10">
        <f>DAY(Sheet1!$A182)</f>
        <v>22</v>
      </c>
      <c r="K182" s="12" t="s">
        <v>2022</v>
      </c>
      <c r="L182" s="13" t="str">
        <f t="shared" si="5"/>
        <v>Regular Customer</v>
      </c>
    </row>
    <row r="183" spans="1:12" ht="15.75" customHeight="1" x14ac:dyDescent="0.3">
      <c r="A183" s="14">
        <v>45541</v>
      </c>
      <c r="B183" s="15" t="s">
        <v>1790</v>
      </c>
      <c r="C183" s="15" t="s">
        <v>8</v>
      </c>
      <c r="D183" s="15" t="s">
        <v>9</v>
      </c>
      <c r="E183" s="16">
        <v>11.56</v>
      </c>
      <c r="F183" s="15" t="s">
        <v>11</v>
      </c>
      <c r="G183" s="15">
        <v>11.56</v>
      </c>
      <c r="H183" s="17">
        <f t="shared" si="4"/>
        <v>9</v>
      </c>
      <c r="I183" s="17">
        <f>YEAR(Sheet1!$A183)</f>
        <v>2024</v>
      </c>
      <c r="J183" s="17">
        <f>DAY(Sheet1!$A183)</f>
        <v>6</v>
      </c>
      <c r="K183" s="18" t="s">
        <v>2023</v>
      </c>
      <c r="L183" s="19" t="str">
        <f t="shared" si="5"/>
        <v>Regular Customer</v>
      </c>
    </row>
    <row r="184" spans="1:12" ht="15.75" customHeight="1" x14ac:dyDescent="0.3">
      <c r="A184" s="7">
        <v>45584</v>
      </c>
      <c r="B184" s="8" t="s">
        <v>426</v>
      </c>
      <c r="C184" s="8" t="s">
        <v>24</v>
      </c>
      <c r="D184" s="8" t="s">
        <v>9</v>
      </c>
      <c r="E184" s="9">
        <v>11.57</v>
      </c>
      <c r="F184" s="8" t="s">
        <v>11</v>
      </c>
      <c r="G184" s="8">
        <v>11.57</v>
      </c>
      <c r="H184" s="10">
        <f t="shared" si="4"/>
        <v>10</v>
      </c>
      <c r="I184" s="10">
        <f>YEAR(Sheet1!$A184)</f>
        <v>2024</v>
      </c>
      <c r="J184" s="10">
        <f>DAY(Sheet1!$A184)</f>
        <v>19</v>
      </c>
      <c r="K184" s="12" t="s">
        <v>2023</v>
      </c>
      <c r="L184" s="13" t="str">
        <f t="shared" si="5"/>
        <v>Regular Customer</v>
      </c>
    </row>
    <row r="185" spans="1:12" ht="15.75" customHeight="1" x14ac:dyDescent="0.3">
      <c r="A185" s="14">
        <v>45634</v>
      </c>
      <c r="B185" s="15" t="s">
        <v>117</v>
      </c>
      <c r="C185" s="15" t="s">
        <v>18</v>
      </c>
      <c r="D185" s="15" t="s">
        <v>14</v>
      </c>
      <c r="E185" s="16">
        <v>11.69</v>
      </c>
      <c r="F185" s="15" t="s">
        <v>11</v>
      </c>
      <c r="G185" s="15">
        <v>11.69</v>
      </c>
      <c r="H185" s="17">
        <f t="shared" si="4"/>
        <v>12</v>
      </c>
      <c r="I185" s="17">
        <f>YEAR(Sheet1!$A185)</f>
        <v>2024</v>
      </c>
      <c r="J185" s="17">
        <f>DAY(Sheet1!$A185)</f>
        <v>8</v>
      </c>
      <c r="K185" s="18" t="s">
        <v>2022</v>
      </c>
      <c r="L185" s="19" t="str">
        <f t="shared" si="5"/>
        <v>Regular Customer</v>
      </c>
    </row>
    <row r="186" spans="1:12" ht="15.75" customHeight="1" x14ac:dyDescent="0.3">
      <c r="A186" s="7">
        <v>45518</v>
      </c>
      <c r="B186" s="8" t="s">
        <v>507</v>
      </c>
      <c r="C186" s="8" t="s">
        <v>24</v>
      </c>
      <c r="D186" s="8" t="s">
        <v>9</v>
      </c>
      <c r="E186" s="9">
        <v>11.7</v>
      </c>
      <c r="F186" s="8" t="s">
        <v>10</v>
      </c>
      <c r="G186" s="8">
        <v>11.7</v>
      </c>
      <c r="H186" s="10">
        <f t="shared" si="4"/>
        <v>8</v>
      </c>
      <c r="I186" s="10">
        <f>YEAR(Sheet1!$A186)</f>
        <v>2024</v>
      </c>
      <c r="J186" s="10">
        <f>DAY(Sheet1!$A186)</f>
        <v>14</v>
      </c>
      <c r="K186" s="12" t="s">
        <v>2022</v>
      </c>
      <c r="L186" s="13" t="str">
        <f t="shared" si="5"/>
        <v>Regular Customer</v>
      </c>
    </row>
    <row r="187" spans="1:12" ht="15.75" customHeight="1" x14ac:dyDescent="0.3">
      <c r="A187" s="14">
        <v>45657</v>
      </c>
      <c r="B187" s="15" t="s">
        <v>1088</v>
      </c>
      <c r="C187" s="15" t="s">
        <v>13</v>
      </c>
      <c r="D187" s="15" t="s">
        <v>14</v>
      </c>
      <c r="E187" s="16">
        <v>11.77</v>
      </c>
      <c r="F187" s="15" t="s">
        <v>10</v>
      </c>
      <c r="G187" s="15">
        <v>11.77</v>
      </c>
      <c r="H187" s="17">
        <f t="shared" si="4"/>
        <v>12</v>
      </c>
      <c r="I187" s="17">
        <f>YEAR(Sheet1!$A187)</f>
        <v>2024</v>
      </c>
      <c r="J187" s="17">
        <f>DAY(Sheet1!$A187)</f>
        <v>31</v>
      </c>
      <c r="K187" s="18" t="s">
        <v>2023</v>
      </c>
      <c r="L187" s="19" t="str">
        <f t="shared" si="5"/>
        <v>Regular Customer</v>
      </c>
    </row>
    <row r="188" spans="1:12" ht="15.75" customHeight="1" x14ac:dyDescent="0.3">
      <c r="A188" s="7">
        <v>45531</v>
      </c>
      <c r="B188" s="8" t="s">
        <v>917</v>
      </c>
      <c r="C188" s="8" t="s">
        <v>8</v>
      </c>
      <c r="D188" s="8" t="s">
        <v>19</v>
      </c>
      <c r="E188" s="9">
        <v>5.89</v>
      </c>
      <c r="F188" s="8" t="s">
        <v>11</v>
      </c>
      <c r="G188" s="8">
        <v>11.78</v>
      </c>
      <c r="H188" s="10">
        <f t="shared" si="4"/>
        <v>8</v>
      </c>
      <c r="I188" s="10">
        <f>YEAR(Sheet1!$A188)</f>
        <v>2024</v>
      </c>
      <c r="J188" s="10">
        <f>DAY(Sheet1!$A188)</f>
        <v>27</v>
      </c>
      <c r="K188" s="12" t="s">
        <v>2022</v>
      </c>
      <c r="L188" s="13" t="str">
        <f t="shared" si="5"/>
        <v>Regular Customer</v>
      </c>
    </row>
    <row r="189" spans="1:12" ht="15.75" customHeight="1" x14ac:dyDescent="0.3">
      <c r="A189" s="14">
        <v>45584</v>
      </c>
      <c r="B189" s="15" t="s">
        <v>313</v>
      </c>
      <c r="C189" s="15" t="s">
        <v>24</v>
      </c>
      <c r="D189" s="15" t="s">
        <v>19</v>
      </c>
      <c r="E189" s="16">
        <v>11.79</v>
      </c>
      <c r="F189" s="15" t="s">
        <v>11</v>
      </c>
      <c r="G189" s="15">
        <v>11.79</v>
      </c>
      <c r="H189" s="17">
        <f t="shared" si="4"/>
        <v>10</v>
      </c>
      <c r="I189" s="17">
        <f>YEAR(Sheet1!$A189)</f>
        <v>2024</v>
      </c>
      <c r="J189" s="17">
        <f>DAY(Sheet1!$A189)</f>
        <v>19</v>
      </c>
      <c r="K189" s="18" t="s">
        <v>2022</v>
      </c>
      <c r="L189" s="19" t="str">
        <f t="shared" si="5"/>
        <v>Regular Customer</v>
      </c>
    </row>
    <row r="190" spans="1:12" ht="15.75" customHeight="1" x14ac:dyDescent="0.3">
      <c r="A190" s="7">
        <v>45755</v>
      </c>
      <c r="B190" s="8" t="s">
        <v>1559</v>
      </c>
      <c r="C190" s="8" t="s">
        <v>24</v>
      </c>
      <c r="D190" s="8" t="s">
        <v>16</v>
      </c>
      <c r="E190" s="9">
        <v>5.91</v>
      </c>
      <c r="F190" s="8" t="s">
        <v>10</v>
      </c>
      <c r="G190" s="8">
        <v>11.82</v>
      </c>
      <c r="H190" s="10">
        <f t="shared" si="4"/>
        <v>4</v>
      </c>
      <c r="I190" s="10">
        <f>YEAR(Sheet1!$A190)</f>
        <v>2025</v>
      </c>
      <c r="J190" s="10">
        <f>DAY(Sheet1!$A190)</f>
        <v>8</v>
      </c>
      <c r="K190" s="12" t="s">
        <v>2023</v>
      </c>
      <c r="L190" s="13" t="str">
        <f t="shared" si="5"/>
        <v>Regular Customer</v>
      </c>
    </row>
    <row r="191" spans="1:12" ht="15.75" customHeight="1" x14ac:dyDescent="0.3">
      <c r="A191" s="14">
        <v>45544</v>
      </c>
      <c r="B191" s="15" t="s">
        <v>1461</v>
      </c>
      <c r="C191" s="15" t="s">
        <v>13</v>
      </c>
      <c r="D191" s="15" t="s">
        <v>16</v>
      </c>
      <c r="E191" s="16">
        <v>11.9</v>
      </c>
      <c r="F191" s="15" t="s">
        <v>11</v>
      </c>
      <c r="G191" s="15">
        <v>11.9</v>
      </c>
      <c r="H191" s="17">
        <f t="shared" si="4"/>
        <v>9</v>
      </c>
      <c r="I191" s="17">
        <f>YEAR(Sheet1!$A191)</f>
        <v>2024</v>
      </c>
      <c r="J191" s="17">
        <f>DAY(Sheet1!$A191)</f>
        <v>9</v>
      </c>
      <c r="K191" s="18" t="s">
        <v>2023</v>
      </c>
      <c r="L191" s="19" t="str">
        <f t="shared" si="5"/>
        <v>Regular Customer</v>
      </c>
    </row>
    <row r="192" spans="1:12" ht="15.75" customHeight="1" x14ac:dyDescent="0.3">
      <c r="A192" s="7">
        <v>45572</v>
      </c>
      <c r="B192" s="8" t="s">
        <v>1014</v>
      </c>
      <c r="C192" s="8" t="s">
        <v>8</v>
      </c>
      <c r="D192" s="8" t="s">
        <v>19</v>
      </c>
      <c r="E192" s="9">
        <v>5.96</v>
      </c>
      <c r="F192" s="8" t="s">
        <v>11</v>
      </c>
      <c r="G192" s="8">
        <v>11.92</v>
      </c>
      <c r="H192" s="10">
        <f t="shared" si="4"/>
        <v>10</v>
      </c>
      <c r="I192" s="10">
        <f>YEAR(Sheet1!$A192)</f>
        <v>2024</v>
      </c>
      <c r="J192" s="10">
        <f>DAY(Sheet1!$A192)</f>
        <v>7</v>
      </c>
      <c r="K192" s="12" t="s">
        <v>2023</v>
      </c>
      <c r="L192" s="13" t="str">
        <f t="shared" si="5"/>
        <v>Regular Customer</v>
      </c>
    </row>
    <row r="193" spans="1:12" ht="15.75" customHeight="1" x14ac:dyDescent="0.3">
      <c r="A193" s="14">
        <v>45667</v>
      </c>
      <c r="B193" s="15" t="s">
        <v>236</v>
      </c>
      <c r="C193" s="15" t="s">
        <v>13</v>
      </c>
      <c r="D193" s="15" t="s">
        <v>14</v>
      </c>
      <c r="E193" s="16">
        <v>11.96</v>
      </c>
      <c r="F193" s="15" t="s">
        <v>10</v>
      </c>
      <c r="G193" s="15">
        <v>11.96</v>
      </c>
      <c r="H193" s="17">
        <f t="shared" si="4"/>
        <v>1</v>
      </c>
      <c r="I193" s="17">
        <f>YEAR(Sheet1!$A193)</f>
        <v>2025</v>
      </c>
      <c r="J193" s="17">
        <f>DAY(Sheet1!$A193)</f>
        <v>10</v>
      </c>
      <c r="K193" s="18" t="s">
        <v>2023</v>
      </c>
      <c r="L193" s="19" t="str">
        <f t="shared" si="5"/>
        <v>Regular Customer</v>
      </c>
    </row>
    <row r="194" spans="1:12" ht="15.75" customHeight="1" x14ac:dyDescent="0.3">
      <c r="A194" s="7">
        <v>45442</v>
      </c>
      <c r="B194" s="8" t="s">
        <v>1395</v>
      </c>
      <c r="C194" s="8" t="s">
        <v>13</v>
      </c>
      <c r="D194" s="8" t="s">
        <v>9</v>
      </c>
      <c r="E194" s="9">
        <v>5.99</v>
      </c>
      <c r="F194" s="8" t="s">
        <v>11</v>
      </c>
      <c r="G194" s="8">
        <v>11.98</v>
      </c>
      <c r="H194" s="10">
        <f t="shared" ref="H194:H257" si="6">MONTH(A194)</f>
        <v>5</v>
      </c>
      <c r="I194" s="10">
        <f>YEAR(Sheet1!$A194)</f>
        <v>2024</v>
      </c>
      <c r="J194" s="10">
        <f>DAY(Sheet1!$A194)</f>
        <v>30</v>
      </c>
      <c r="K194" s="12" t="s">
        <v>2022</v>
      </c>
      <c r="L194" s="13" t="str">
        <f t="shared" ref="L194:L257" si="7">IF(G194&gt;50,"Premium Customer","Regular Customer")</f>
        <v>Regular Customer</v>
      </c>
    </row>
    <row r="195" spans="1:12" ht="15.75" customHeight="1" x14ac:dyDescent="0.3">
      <c r="A195" s="14">
        <v>45617</v>
      </c>
      <c r="B195" s="15" t="s">
        <v>1631</v>
      </c>
      <c r="C195" s="15" t="s">
        <v>24</v>
      </c>
      <c r="D195" s="15" t="s">
        <v>16</v>
      </c>
      <c r="E195" s="16">
        <v>5.99</v>
      </c>
      <c r="F195" s="15" t="s">
        <v>11</v>
      </c>
      <c r="G195" s="15">
        <v>11.98</v>
      </c>
      <c r="H195" s="17">
        <f t="shared" si="6"/>
        <v>11</v>
      </c>
      <c r="I195" s="17">
        <f>YEAR(Sheet1!$A195)</f>
        <v>2024</v>
      </c>
      <c r="J195" s="17">
        <f>DAY(Sheet1!$A195)</f>
        <v>21</v>
      </c>
      <c r="K195" s="18" t="s">
        <v>2022</v>
      </c>
      <c r="L195" s="19" t="str">
        <f t="shared" si="7"/>
        <v>Regular Customer</v>
      </c>
    </row>
    <row r="196" spans="1:12" ht="15.75" customHeight="1" x14ac:dyDescent="0.3">
      <c r="A196" s="7">
        <v>45679</v>
      </c>
      <c r="B196" s="8" t="s">
        <v>1276</v>
      </c>
      <c r="C196" s="8" t="s">
        <v>24</v>
      </c>
      <c r="D196" s="8" t="s">
        <v>9</v>
      </c>
      <c r="E196" s="9">
        <v>11.98</v>
      </c>
      <c r="F196" s="8" t="s">
        <v>11</v>
      </c>
      <c r="G196" s="8">
        <v>11.98</v>
      </c>
      <c r="H196" s="10">
        <f t="shared" si="6"/>
        <v>1</v>
      </c>
      <c r="I196" s="10">
        <f>YEAR(Sheet1!$A196)</f>
        <v>2025</v>
      </c>
      <c r="J196" s="10">
        <f>DAY(Sheet1!$A196)</f>
        <v>22</v>
      </c>
      <c r="K196" s="12" t="s">
        <v>2022</v>
      </c>
      <c r="L196" s="13" t="str">
        <f t="shared" si="7"/>
        <v>Regular Customer</v>
      </c>
    </row>
    <row r="197" spans="1:12" ht="15.75" customHeight="1" x14ac:dyDescent="0.3">
      <c r="A197" s="14">
        <v>45754</v>
      </c>
      <c r="B197" s="15" t="s">
        <v>587</v>
      </c>
      <c r="C197" s="15" t="s">
        <v>24</v>
      </c>
      <c r="D197" s="15" t="s">
        <v>9</v>
      </c>
      <c r="E197" s="16">
        <v>11.99</v>
      </c>
      <c r="F197" s="15" t="s">
        <v>10</v>
      </c>
      <c r="G197" s="15">
        <v>11.99</v>
      </c>
      <c r="H197" s="17">
        <f t="shared" si="6"/>
        <v>4</v>
      </c>
      <c r="I197" s="17">
        <f>YEAR(Sheet1!$A197)</f>
        <v>2025</v>
      </c>
      <c r="J197" s="17">
        <f>DAY(Sheet1!$A197)</f>
        <v>7</v>
      </c>
      <c r="K197" s="18" t="s">
        <v>2023</v>
      </c>
      <c r="L197" s="19" t="str">
        <f t="shared" si="7"/>
        <v>Regular Customer</v>
      </c>
    </row>
    <row r="198" spans="1:12" ht="15.75" customHeight="1" x14ac:dyDescent="0.3">
      <c r="A198" s="7">
        <v>45614</v>
      </c>
      <c r="B198" s="8" t="s">
        <v>324</v>
      </c>
      <c r="C198" s="8" t="s">
        <v>18</v>
      </c>
      <c r="D198" s="8" t="s">
        <v>9</v>
      </c>
      <c r="E198" s="9">
        <v>6</v>
      </c>
      <c r="F198" s="8" t="s">
        <v>11</v>
      </c>
      <c r="G198" s="8">
        <v>12</v>
      </c>
      <c r="H198" s="10">
        <f t="shared" si="6"/>
        <v>11</v>
      </c>
      <c r="I198" s="10">
        <f>YEAR(Sheet1!$A198)</f>
        <v>2024</v>
      </c>
      <c r="J198" s="10">
        <f>DAY(Sheet1!$A198)</f>
        <v>18</v>
      </c>
      <c r="K198" s="12" t="s">
        <v>2022</v>
      </c>
      <c r="L198" s="13" t="str">
        <f t="shared" si="7"/>
        <v>Regular Customer</v>
      </c>
    </row>
    <row r="199" spans="1:12" ht="15.75" customHeight="1" x14ac:dyDescent="0.3">
      <c r="A199" s="14">
        <v>45726</v>
      </c>
      <c r="B199" s="15" t="s">
        <v>1717</v>
      </c>
      <c r="C199" s="15" t="s">
        <v>18</v>
      </c>
      <c r="D199" s="15" t="s">
        <v>19</v>
      </c>
      <c r="E199" s="16">
        <v>6</v>
      </c>
      <c r="F199" s="15" t="s">
        <v>11</v>
      </c>
      <c r="G199" s="15">
        <v>12</v>
      </c>
      <c r="H199" s="17">
        <f t="shared" si="6"/>
        <v>3</v>
      </c>
      <c r="I199" s="17">
        <f>YEAR(Sheet1!$A199)</f>
        <v>2025</v>
      </c>
      <c r="J199" s="17">
        <f>DAY(Sheet1!$A199)</f>
        <v>10</v>
      </c>
      <c r="K199" s="18" t="s">
        <v>2023</v>
      </c>
      <c r="L199" s="19" t="str">
        <f t="shared" si="7"/>
        <v>Regular Customer</v>
      </c>
    </row>
    <row r="200" spans="1:12" ht="15.75" customHeight="1" x14ac:dyDescent="0.3">
      <c r="A200" s="7">
        <v>45577</v>
      </c>
      <c r="B200" s="8" t="s">
        <v>1312</v>
      </c>
      <c r="C200" s="8" t="s">
        <v>13</v>
      </c>
      <c r="D200" s="8" t="s">
        <v>9</v>
      </c>
      <c r="E200" s="9">
        <v>12.03</v>
      </c>
      <c r="F200" s="8" t="s">
        <v>11</v>
      </c>
      <c r="G200" s="8">
        <v>12.03</v>
      </c>
      <c r="H200" s="10">
        <f t="shared" si="6"/>
        <v>10</v>
      </c>
      <c r="I200" s="10">
        <f>YEAR(Sheet1!$A200)</f>
        <v>2024</v>
      </c>
      <c r="J200" s="10">
        <f>DAY(Sheet1!$A200)</f>
        <v>12</v>
      </c>
      <c r="K200" s="12" t="s">
        <v>2022</v>
      </c>
      <c r="L200" s="13" t="str">
        <f t="shared" si="7"/>
        <v>Regular Customer</v>
      </c>
    </row>
    <row r="201" spans="1:12" ht="15.75" customHeight="1" x14ac:dyDescent="0.3">
      <c r="A201" s="14">
        <v>45634</v>
      </c>
      <c r="B201" s="15" t="s">
        <v>1990</v>
      </c>
      <c r="C201" s="15" t="s">
        <v>8</v>
      </c>
      <c r="D201" s="15" t="s">
        <v>19</v>
      </c>
      <c r="E201" s="16">
        <v>6.04</v>
      </c>
      <c r="F201" s="15" t="s">
        <v>11</v>
      </c>
      <c r="G201" s="15">
        <v>12.08</v>
      </c>
      <c r="H201" s="17">
        <f t="shared" si="6"/>
        <v>12</v>
      </c>
      <c r="I201" s="17">
        <f>YEAR(Sheet1!$A201)</f>
        <v>2024</v>
      </c>
      <c r="J201" s="17">
        <f>DAY(Sheet1!$A201)</f>
        <v>8</v>
      </c>
      <c r="K201" s="18" t="s">
        <v>2023</v>
      </c>
      <c r="L201" s="19" t="str">
        <f t="shared" si="7"/>
        <v>Regular Customer</v>
      </c>
    </row>
    <row r="202" spans="1:12" ht="15.75" customHeight="1" x14ac:dyDescent="0.3">
      <c r="A202" s="7">
        <v>45703</v>
      </c>
      <c r="B202" s="8" t="s">
        <v>1148</v>
      </c>
      <c r="C202" s="8" t="s">
        <v>24</v>
      </c>
      <c r="D202" s="8" t="s">
        <v>19</v>
      </c>
      <c r="E202" s="9">
        <v>12.08</v>
      </c>
      <c r="F202" s="8" t="s">
        <v>10</v>
      </c>
      <c r="G202" s="8">
        <v>12.08</v>
      </c>
      <c r="H202" s="10">
        <f t="shared" si="6"/>
        <v>2</v>
      </c>
      <c r="I202" s="10">
        <f>YEAR(Sheet1!$A202)</f>
        <v>2025</v>
      </c>
      <c r="J202" s="10">
        <f>DAY(Sheet1!$A202)</f>
        <v>15</v>
      </c>
      <c r="K202" s="12" t="s">
        <v>2022</v>
      </c>
      <c r="L202" s="13" t="str">
        <f t="shared" si="7"/>
        <v>Regular Customer</v>
      </c>
    </row>
    <row r="203" spans="1:12" ht="15.75" customHeight="1" x14ac:dyDescent="0.3">
      <c r="A203" s="14">
        <v>45632</v>
      </c>
      <c r="B203" s="15" t="s">
        <v>1756</v>
      </c>
      <c r="C203" s="15" t="s">
        <v>8</v>
      </c>
      <c r="D203" s="15" t="s">
        <v>19</v>
      </c>
      <c r="E203" s="16">
        <v>12.09</v>
      </c>
      <c r="F203" s="15" t="s">
        <v>10</v>
      </c>
      <c r="G203" s="15">
        <v>12.09</v>
      </c>
      <c r="H203" s="17">
        <f t="shared" si="6"/>
        <v>12</v>
      </c>
      <c r="I203" s="17">
        <f>YEAR(Sheet1!$A203)</f>
        <v>2024</v>
      </c>
      <c r="J203" s="17">
        <f>DAY(Sheet1!$A203)</f>
        <v>6</v>
      </c>
      <c r="K203" s="18" t="s">
        <v>2022</v>
      </c>
      <c r="L203" s="19" t="str">
        <f t="shared" si="7"/>
        <v>Regular Customer</v>
      </c>
    </row>
    <row r="204" spans="1:12" ht="15.75" customHeight="1" x14ac:dyDescent="0.3">
      <c r="A204" s="7">
        <v>45706</v>
      </c>
      <c r="B204" s="8" t="s">
        <v>1254</v>
      </c>
      <c r="C204" s="8" t="s">
        <v>24</v>
      </c>
      <c r="D204" s="8" t="s">
        <v>9</v>
      </c>
      <c r="E204" s="9">
        <v>12.09</v>
      </c>
      <c r="F204" s="8" t="s">
        <v>11</v>
      </c>
      <c r="G204" s="8">
        <v>12.09</v>
      </c>
      <c r="H204" s="10">
        <f t="shared" si="6"/>
        <v>2</v>
      </c>
      <c r="I204" s="10">
        <f>YEAR(Sheet1!$A204)</f>
        <v>2025</v>
      </c>
      <c r="J204" s="10">
        <f>DAY(Sheet1!$A204)</f>
        <v>18</v>
      </c>
      <c r="K204" s="12" t="s">
        <v>2023</v>
      </c>
      <c r="L204" s="13" t="str">
        <f t="shared" si="7"/>
        <v>Regular Customer</v>
      </c>
    </row>
    <row r="205" spans="1:12" ht="15.75" customHeight="1" x14ac:dyDescent="0.3">
      <c r="A205" s="14">
        <v>45723</v>
      </c>
      <c r="B205" s="15" t="s">
        <v>1998</v>
      </c>
      <c r="C205" s="15" t="s">
        <v>24</v>
      </c>
      <c r="D205" s="15" t="s">
        <v>19</v>
      </c>
      <c r="E205" s="16">
        <v>12.09</v>
      </c>
      <c r="F205" s="15" t="s">
        <v>10</v>
      </c>
      <c r="G205" s="15">
        <v>12.09</v>
      </c>
      <c r="H205" s="17">
        <f t="shared" si="6"/>
        <v>3</v>
      </c>
      <c r="I205" s="17">
        <f>YEAR(Sheet1!$A205)</f>
        <v>2025</v>
      </c>
      <c r="J205" s="17">
        <f>DAY(Sheet1!$A205)</f>
        <v>7</v>
      </c>
      <c r="K205" s="18" t="s">
        <v>2023</v>
      </c>
      <c r="L205" s="19" t="str">
        <f t="shared" si="7"/>
        <v>Regular Customer</v>
      </c>
    </row>
    <row r="206" spans="1:12" ht="15.75" customHeight="1" x14ac:dyDescent="0.3">
      <c r="A206" s="7">
        <v>45451</v>
      </c>
      <c r="B206" s="8" t="s">
        <v>1850</v>
      </c>
      <c r="C206" s="8" t="s">
        <v>13</v>
      </c>
      <c r="D206" s="8" t="s">
        <v>14</v>
      </c>
      <c r="E206" s="9">
        <v>12.11</v>
      </c>
      <c r="F206" s="8" t="s">
        <v>11</v>
      </c>
      <c r="G206" s="8">
        <v>12.11</v>
      </c>
      <c r="H206" s="10">
        <f t="shared" si="6"/>
        <v>6</v>
      </c>
      <c r="I206" s="10">
        <f>YEAR(Sheet1!$A206)</f>
        <v>2024</v>
      </c>
      <c r="J206" s="10">
        <f>DAY(Sheet1!$A206)</f>
        <v>8</v>
      </c>
      <c r="K206" s="12" t="s">
        <v>2022</v>
      </c>
      <c r="L206" s="13" t="str">
        <f t="shared" si="7"/>
        <v>Regular Customer</v>
      </c>
    </row>
    <row r="207" spans="1:12" ht="15.75" customHeight="1" x14ac:dyDescent="0.3">
      <c r="A207" s="14">
        <v>45746</v>
      </c>
      <c r="B207" s="15" t="s">
        <v>1283</v>
      </c>
      <c r="C207" s="15" t="s">
        <v>13</v>
      </c>
      <c r="D207" s="15" t="s">
        <v>14</v>
      </c>
      <c r="E207" s="16">
        <v>12.13</v>
      </c>
      <c r="F207" s="15" t="s">
        <v>10</v>
      </c>
      <c r="G207" s="15">
        <v>12.13</v>
      </c>
      <c r="H207" s="17">
        <f t="shared" si="6"/>
        <v>3</v>
      </c>
      <c r="I207" s="17">
        <f>YEAR(Sheet1!$A207)</f>
        <v>2025</v>
      </c>
      <c r="J207" s="17">
        <f>DAY(Sheet1!$A207)</f>
        <v>30</v>
      </c>
      <c r="K207" s="18" t="s">
        <v>2022</v>
      </c>
      <c r="L207" s="19" t="str">
        <f t="shared" si="7"/>
        <v>Regular Customer</v>
      </c>
    </row>
    <row r="208" spans="1:12" ht="15.75" customHeight="1" x14ac:dyDescent="0.3">
      <c r="A208" s="7">
        <v>45778</v>
      </c>
      <c r="B208" s="8" t="s">
        <v>779</v>
      </c>
      <c r="C208" s="8" t="s">
        <v>8</v>
      </c>
      <c r="D208" s="8" t="s">
        <v>19</v>
      </c>
      <c r="E208" s="9">
        <v>6.1</v>
      </c>
      <c r="F208" s="8" t="s">
        <v>11</v>
      </c>
      <c r="G208" s="8">
        <v>12.2</v>
      </c>
      <c r="H208" s="10">
        <f t="shared" si="6"/>
        <v>5</v>
      </c>
      <c r="I208" s="10">
        <f>YEAR(Sheet1!$A208)</f>
        <v>2025</v>
      </c>
      <c r="J208" s="10">
        <f>DAY(Sheet1!$A208)</f>
        <v>1</v>
      </c>
      <c r="K208" s="12" t="s">
        <v>2022</v>
      </c>
      <c r="L208" s="13" t="str">
        <f t="shared" si="7"/>
        <v>Regular Customer</v>
      </c>
    </row>
    <row r="209" spans="1:12" ht="15.75" customHeight="1" x14ac:dyDescent="0.3">
      <c r="A209" s="14">
        <v>45770</v>
      </c>
      <c r="B209" s="15" t="s">
        <v>669</v>
      </c>
      <c r="C209" s="15" t="s">
        <v>18</v>
      </c>
      <c r="D209" s="15" t="s">
        <v>16</v>
      </c>
      <c r="E209" s="16">
        <v>12.24</v>
      </c>
      <c r="F209" s="15" t="s">
        <v>11</v>
      </c>
      <c r="G209" s="15">
        <v>12.24</v>
      </c>
      <c r="H209" s="17">
        <f t="shared" si="6"/>
        <v>4</v>
      </c>
      <c r="I209" s="17">
        <f>YEAR(Sheet1!$A209)</f>
        <v>2025</v>
      </c>
      <c r="J209" s="17">
        <f>DAY(Sheet1!$A209)</f>
        <v>23</v>
      </c>
      <c r="K209" s="18" t="s">
        <v>2022</v>
      </c>
      <c r="L209" s="19" t="str">
        <f t="shared" si="7"/>
        <v>Regular Customer</v>
      </c>
    </row>
    <row r="210" spans="1:12" ht="15.75" customHeight="1" x14ac:dyDescent="0.3">
      <c r="A210" s="7">
        <v>45746</v>
      </c>
      <c r="B210" s="8" t="s">
        <v>2006</v>
      </c>
      <c r="C210" s="8" t="s">
        <v>24</v>
      </c>
      <c r="D210" s="8" t="s">
        <v>9</v>
      </c>
      <c r="E210" s="9">
        <v>12.25</v>
      </c>
      <c r="F210" s="8" t="s">
        <v>11</v>
      </c>
      <c r="G210" s="8">
        <v>12.25</v>
      </c>
      <c r="H210" s="10">
        <f t="shared" si="6"/>
        <v>3</v>
      </c>
      <c r="I210" s="10">
        <f>YEAR(Sheet1!$A210)</f>
        <v>2025</v>
      </c>
      <c r="J210" s="10">
        <f>DAY(Sheet1!$A210)</f>
        <v>30</v>
      </c>
      <c r="K210" s="12" t="s">
        <v>2022</v>
      </c>
      <c r="L210" s="13" t="str">
        <f t="shared" si="7"/>
        <v>Regular Customer</v>
      </c>
    </row>
    <row r="211" spans="1:12" ht="15.75" customHeight="1" x14ac:dyDescent="0.3">
      <c r="A211" s="14">
        <v>45510</v>
      </c>
      <c r="B211" s="15" t="s">
        <v>1191</v>
      </c>
      <c r="C211" s="15" t="s">
        <v>18</v>
      </c>
      <c r="D211" s="15" t="s">
        <v>9</v>
      </c>
      <c r="E211" s="16">
        <v>12.26</v>
      </c>
      <c r="F211" s="15" t="s">
        <v>11</v>
      </c>
      <c r="G211" s="15">
        <v>12.26</v>
      </c>
      <c r="H211" s="17">
        <f t="shared" si="6"/>
        <v>8</v>
      </c>
      <c r="I211" s="17">
        <f>YEAR(Sheet1!$A211)</f>
        <v>2024</v>
      </c>
      <c r="J211" s="17">
        <f>DAY(Sheet1!$A211)</f>
        <v>6</v>
      </c>
      <c r="K211" s="18" t="s">
        <v>2023</v>
      </c>
      <c r="L211" s="19" t="str">
        <f t="shared" si="7"/>
        <v>Regular Customer</v>
      </c>
    </row>
    <row r="212" spans="1:12" ht="15.75" customHeight="1" x14ac:dyDescent="0.3">
      <c r="A212" s="7">
        <v>45557</v>
      </c>
      <c r="B212" s="8" t="s">
        <v>309</v>
      </c>
      <c r="C212" s="8" t="s">
        <v>24</v>
      </c>
      <c r="D212" s="8" t="s">
        <v>14</v>
      </c>
      <c r="E212" s="9">
        <v>6.14</v>
      </c>
      <c r="F212" s="8" t="s">
        <v>11</v>
      </c>
      <c r="G212" s="8">
        <v>12.28</v>
      </c>
      <c r="H212" s="10">
        <f t="shared" si="6"/>
        <v>9</v>
      </c>
      <c r="I212" s="10">
        <f>YEAR(Sheet1!$A212)</f>
        <v>2024</v>
      </c>
      <c r="J212" s="10">
        <f>DAY(Sheet1!$A212)</f>
        <v>22</v>
      </c>
      <c r="K212" s="12" t="s">
        <v>2023</v>
      </c>
      <c r="L212" s="13" t="str">
        <f t="shared" si="7"/>
        <v>Regular Customer</v>
      </c>
    </row>
    <row r="213" spans="1:12" ht="15.75" customHeight="1" x14ac:dyDescent="0.3">
      <c r="A213" s="14">
        <v>45487</v>
      </c>
      <c r="B213" s="15" t="s">
        <v>548</v>
      </c>
      <c r="C213" s="15" t="s">
        <v>18</v>
      </c>
      <c r="D213" s="15" t="s">
        <v>9</v>
      </c>
      <c r="E213" s="16">
        <v>12.29</v>
      </c>
      <c r="F213" s="15" t="s">
        <v>11</v>
      </c>
      <c r="G213" s="15">
        <v>12.29</v>
      </c>
      <c r="H213" s="17">
        <f t="shared" si="6"/>
        <v>7</v>
      </c>
      <c r="I213" s="17">
        <f>YEAR(Sheet1!$A213)</f>
        <v>2024</v>
      </c>
      <c r="J213" s="17">
        <f>DAY(Sheet1!$A213)</f>
        <v>14</v>
      </c>
      <c r="K213" s="18" t="s">
        <v>2022</v>
      </c>
      <c r="L213" s="19" t="str">
        <f t="shared" si="7"/>
        <v>Regular Customer</v>
      </c>
    </row>
    <row r="214" spans="1:12" ht="15.75" customHeight="1" x14ac:dyDescent="0.3">
      <c r="A214" s="7">
        <v>45577</v>
      </c>
      <c r="B214" s="8" t="s">
        <v>1981</v>
      </c>
      <c r="C214" s="8" t="s">
        <v>13</v>
      </c>
      <c r="D214" s="8" t="s">
        <v>14</v>
      </c>
      <c r="E214" s="9">
        <v>6.15</v>
      </c>
      <c r="F214" s="8" t="s">
        <v>11</v>
      </c>
      <c r="G214" s="8">
        <v>12.3</v>
      </c>
      <c r="H214" s="10">
        <f t="shared" si="6"/>
        <v>10</v>
      </c>
      <c r="I214" s="10">
        <f>YEAR(Sheet1!$A214)</f>
        <v>2024</v>
      </c>
      <c r="J214" s="10">
        <f>DAY(Sheet1!$A214)</f>
        <v>12</v>
      </c>
      <c r="K214" s="12" t="s">
        <v>2022</v>
      </c>
      <c r="L214" s="13" t="str">
        <f t="shared" si="7"/>
        <v>Regular Customer</v>
      </c>
    </row>
    <row r="215" spans="1:12" ht="15.75" customHeight="1" x14ac:dyDescent="0.3">
      <c r="A215" s="14">
        <v>45423</v>
      </c>
      <c r="B215" s="15" t="s">
        <v>879</v>
      </c>
      <c r="C215" s="15" t="s">
        <v>13</v>
      </c>
      <c r="D215" s="15" t="s">
        <v>14</v>
      </c>
      <c r="E215" s="16">
        <v>12.34</v>
      </c>
      <c r="F215" s="15" t="s">
        <v>11</v>
      </c>
      <c r="G215" s="15">
        <v>12.34</v>
      </c>
      <c r="H215" s="17">
        <f t="shared" si="6"/>
        <v>5</v>
      </c>
      <c r="I215" s="17">
        <f>YEAR(Sheet1!$A215)</f>
        <v>2024</v>
      </c>
      <c r="J215" s="17">
        <f>DAY(Sheet1!$A215)</f>
        <v>11</v>
      </c>
      <c r="K215" s="18" t="s">
        <v>2023</v>
      </c>
      <c r="L215" s="19" t="str">
        <f t="shared" si="7"/>
        <v>Regular Customer</v>
      </c>
    </row>
    <row r="216" spans="1:12" ht="15.75" customHeight="1" x14ac:dyDescent="0.3">
      <c r="A216" s="7">
        <v>45417</v>
      </c>
      <c r="B216" s="8" t="s">
        <v>40</v>
      </c>
      <c r="C216" s="8" t="s">
        <v>8</v>
      </c>
      <c r="D216" s="8" t="s">
        <v>9</v>
      </c>
      <c r="E216" s="9">
        <v>6.18</v>
      </c>
      <c r="F216" s="8" t="s">
        <v>11</v>
      </c>
      <c r="G216" s="8">
        <v>12.36</v>
      </c>
      <c r="H216" s="10">
        <f t="shared" si="6"/>
        <v>5</v>
      </c>
      <c r="I216" s="10">
        <f>YEAR(Sheet1!$A216)</f>
        <v>2024</v>
      </c>
      <c r="J216" s="10">
        <f>DAY(Sheet1!$A216)</f>
        <v>5</v>
      </c>
      <c r="K216" s="12" t="s">
        <v>2022</v>
      </c>
      <c r="L216" s="13" t="str">
        <f t="shared" si="7"/>
        <v>Regular Customer</v>
      </c>
    </row>
    <row r="217" spans="1:12" ht="15.75" customHeight="1" x14ac:dyDescent="0.3">
      <c r="A217" s="14">
        <v>45732</v>
      </c>
      <c r="B217" s="15" t="s">
        <v>245</v>
      </c>
      <c r="C217" s="15" t="s">
        <v>13</v>
      </c>
      <c r="D217" s="15" t="s">
        <v>16</v>
      </c>
      <c r="E217" s="16">
        <v>12.41</v>
      </c>
      <c r="F217" s="15" t="s">
        <v>11</v>
      </c>
      <c r="G217" s="15">
        <v>12.41</v>
      </c>
      <c r="H217" s="17">
        <f t="shared" si="6"/>
        <v>3</v>
      </c>
      <c r="I217" s="17">
        <f>YEAR(Sheet1!$A217)</f>
        <v>2025</v>
      </c>
      <c r="J217" s="17">
        <f>DAY(Sheet1!$A217)</f>
        <v>16</v>
      </c>
      <c r="K217" s="18" t="s">
        <v>2022</v>
      </c>
      <c r="L217" s="19" t="str">
        <f t="shared" si="7"/>
        <v>Regular Customer</v>
      </c>
    </row>
    <row r="218" spans="1:12" ht="15.75" customHeight="1" x14ac:dyDescent="0.3">
      <c r="A218" s="7">
        <v>45777</v>
      </c>
      <c r="B218" s="8" t="s">
        <v>1085</v>
      </c>
      <c r="C218" s="8" t="s">
        <v>18</v>
      </c>
      <c r="D218" s="8" t="s">
        <v>14</v>
      </c>
      <c r="E218" s="9">
        <v>12.41</v>
      </c>
      <c r="F218" s="8" t="s">
        <v>11</v>
      </c>
      <c r="G218" s="8">
        <v>12.41</v>
      </c>
      <c r="H218" s="10">
        <f t="shared" si="6"/>
        <v>4</v>
      </c>
      <c r="I218" s="10">
        <f>YEAR(Sheet1!$A218)</f>
        <v>2025</v>
      </c>
      <c r="J218" s="10">
        <f>DAY(Sheet1!$A218)</f>
        <v>30</v>
      </c>
      <c r="K218" s="12" t="s">
        <v>2022</v>
      </c>
      <c r="L218" s="13" t="str">
        <f t="shared" si="7"/>
        <v>Regular Customer</v>
      </c>
    </row>
    <row r="219" spans="1:12" ht="15.75" customHeight="1" x14ac:dyDescent="0.3">
      <c r="A219" s="14">
        <v>45715</v>
      </c>
      <c r="B219" s="15" t="s">
        <v>551</v>
      </c>
      <c r="C219" s="15" t="s">
        <v>13</v>
      </c>
      <c r="D219" s="15" t="s">
        <v>19</v>
      </c>
      <c r="E219" s="16">
        <v>6.21</v>
      </c>
      <c r="F219" s="15" t="s">
        <v>11</v>
      </c>
      <c r="G219" s="15">
        <v>12.42</v>
      </c>
      <c r="H219" s="17">
        <f t="shared" si="6"/>
        <v>2</v>
      </c>
      <c r="I219" s="17">
        <f>YEAR(Sheet1!$A219)</f>
        <v>2025</v>
      </c>
      <c r="J219" s="17">
        <f>DAY(Sheet1!$A219)</f>
        <v>27</v>
      </c>
      <c r="K219" s="18" t="s">
        <v>2023</v>
      </c>
      <c r="L219" s="19" t="str">
        <f t="shared" si="7"/>
        <v>Regular Customer</v>
      </c>
    </row>
    <row r="220" spans="1:12" ht="15.75" customHeight="1" x14ac:dyDescent="0.3">
      <c r="A220" s="7">
        <v>45737</v>
      </c>
      <c r="B220" s="8" t="s">
        <v>1562</v>
      </c>
      <c r="C220" s="8" t="s">
        <v>13</v>
      </c>
      <c r="D220" s="8" t="s">
        <v>14</v>
      </c>
      <c r="E220" s="9">
        <v>6.21</v>
      </c>
      <c r="F220" s="8" t="s">
        <v>10</v>
      </c>
      <c r="G220" s="8">
        <v>12.42</v>
      </c>
      <c r="H220" s="10">
        <f t="shared" si="6"/>
        <v>3</v>
      </c>
      <c r="I220" s="10">
        <f>YEAR(Sheet1!$A220)</f>
        <v>2025</v>
      </c>
      <c r="J220" s="10">
        <f>DAY(Sheet1!$A220)</f>
        <v>21</v>
      </c>
      <c r="K220" s="12" t="s">
        <v>2023</v>
      </c>
      <c r="L220" s="13" t="str">
        <f t="shared" si="7"/>
        <v>Regular Customer</v>
      </c>
    </row>
    <row r="221" spans="1:12" ht="15.75" customHeight="1" x14ac:dyDescent="0.3">
      <c r="A221" s="14">
        <v>45443</v>
      </c>
      <c r="B221" s="15" t="s">
        <v>1287</v>
      </c>
      <c r="C221" s="15" t="s">
        <v>24</v>
      </c>
      <c r="D221" s="15" t="s">
        <v>14</v>
      </c>
      <c r="E221" s="16">
        <v>6.23</v>
      </c>
      <c r="F221" s="15" t="s">
        <v>11</v>
      </c>
      <c r="G221" s="15">
        <v>12.46</v>
      </c>
      <c r="H221" s="17">
        <f t="shared" si="6"/>
        <v>5</v>
      </c>
      <c r="I221" s="17">
        <f>YEAR(Sheet1!$A221)</f>
        <v>2024</v>
      </c>
      <c r="J221" s="17">
        <f>DAY(Sheet1!$A221)</f>
        <v>31</v>
      </c>
      <c r="K221" s="18" t="s">
        <v>2022</v>
      </c>
      <c r="L221" s="19" t="str">
        <f t="shared" si="7"/>
        <v>Regular Customer</v>
      </c>
    </row>
    <row r="222" spans="1:12" ht="15.75" customHeight="1" x14ac:dyDescent="0.3">
      <c r="A222" s="7">
        <v>45760</v>
      </c>
      <c r="B222" s="8" t="s">
        <v>1272</v>
      </c>
      <c r="C222" s="8" t="s">
        <v>13</v>
      </c>
      <c r="D222" s="8" t="s">
        <v>14</v>
      </c>
      <c r="E222" s="9">
        <v>12.48</v>
      </c>
      <c r="F222" s="8" t="s">
        <v>11</v>
      </c>
      <c r="G222" s="8">
        <v>12.48</v>
      </c>
      <c r="H222" s="10">
        <f t="shared" si="6"/>
        <v>4</v>
      </c>
      <c r="I222" s="10">
        <f>YEAR(Sheet1!$A222)</f>
        <v>2025</v>
      </c>
      <c r="J222" s="10">
        <f>DAY(Sheet1!$A222)</f>
        <v>13</v>
      </c>
      <c r="K222" s="12" t="s">
        <v>2022</v>
      </c>
      <c r="L222" s="13" t="str">
        <f t="shared" si="7"/>
        <v>Regular Customer</v>
      </c>
    </row>
    <row r="223" spans="1:12" ht="15.75" customHeight="1" x14ac:dyDescent="0.3">
      <c r="A223" s="14">
        <v>45648</v>
      </c>
      <c r="B223" s="15" t="s">
        <v>1662</v>
      </c>
      <c r="C223" s="15" t="s">
        <v>24</v>
      </c>
      <c r="D223" s="15" t="s">
        <v>14</v>
      </c>
      <c r="E223" s="16">
        <v>12.49</v>
      </c>
      <c r="F223" s="15" t="s">
        <v>11</v>
      </c>
      <c r="G223" s="15">
        <v>12.49</v>
      </c>
      <c r="H223" s="17">
        <f t="shared" si="6"/>
        <v>12</v>
      </c>
      <c r="I223" s="17">
        <f>YEAR(Sheet1!$A223)</f>
        <v>2024</v>
      </c>
      <c r="J223" s="17">
        <f>DAY(Sheet1!$A223)</f>
        <v>22</v>
      </c>
      <c r="K223" s="18" t="s">
        <v>2023</v>
      </c>
      <c r="L223" s="19" t="str">
        <f t="shared" si="7"/>
        <v>Regular Customer</v>
      </c>
    </row>
    <row r="224" spans="1:12" ht="15.75" customHeight="1" x14ac:dyDescent="0.3">
      <c r="A224" s="7">
        <v>45639</v>
      </c>
      <c r="B224" s="8" t="s">
        <v>1101</v>
      </c>
      <c r="C224" s="8" t="s">
        <v>24</v>
      </c>
      <c r="D224" s="8" t="s">
        <v>9</v>
      </c>
      <c r="E224" s="9">
        <v>12.5</v>
      </c>
      <c r="F224" s="8" t="s">
        <v>11</v>
      </c>
      <c r="G224" s="8">
        <v>12.5</v>
      </c>
      <c r="H224" s="10">
        <f t="shared" si="6"/>
        <v>12</v>
      </c>
      <c r="I224" s="10">
        <f>YEAR(Sheet1!$A224)</f>
        <v>2024</v>
      </c>
      <c r="J224" s="10">
        <f>DAY(Sheet1!$A224)</f>
        <v>13</v>
      </c>
      <c r="K224" s="12" t="s">
        <v>2022</v>
      </c>
      <c r="L224" s="13" t="str">
        <f t="shared" si="7"/>
        <v>Regular Customer</v>
      </c>
    </row>
    <row r="225" spans="1:12" ht="15.75" customHeight="1" x14ac:dyDescent="0.3">
      <c r="A225" s="14">
        <v>45421</v>
      </c>
      <c r="B225" s="15" t="s">
        <v>1076</v>
      </c>
      <c r="C225" s="15" t="s">
        <v>24</v>
      </c>
      <c r="D225" s="15" t="s">
        <v>9</v>
      </c>
      <c r="E225" s="16">
        <v>6.3</v>
      </c>
      <c r="F225" s="15" t="s">
        <v>11</v>
      </c>
      <c r="G225" s="15">
        <v>12.6</v>
      </c>
      <c r="H225" s="17">
        <f t="shared" si="6"/>
        <v>5</v>
      </c>
      <c r="I225" s="17">
        <f>YEAR(Sheet1!$A225)</f>
        <v>2024</v>
      </c>
      <c r="J225" s="17">
        <f>DAY(Sheet1!$A225)</f>
        <v>9</v>
      </c>
      <c r="K225" s="18" t="s">
        <v>2022</v>
      </c>
      <c r="L225" s="19" t="str">
        <f t="shared" si="7"/>
        <v>Regular Customer</v>
      </c>
    </row>
    <row r="226" spans="1:12" ht="15.75" customHeight="1" x14ac:dyDescent="0.3">
      <c r="A226" s="7">
        <v>45766</v>
      </c>
      <c r="B226" s="8" t="s">
        <v>1835</v>
      </c>
      <c r="C226" s="8" t="s">
        <v>18</v>
      </c>
      <c r="D226" s="8" t="s">
        <v>9</v>
      </c>
      <c r="E226" s="9">
        <v>12.64</v>
      </c>
      <c r="F226" s="8" t="s">
        <v>10</v>
      </c>
      <c r="G226" s="8">
        <v>12.64</v>
      </c>
      <c r="H226" s="10">
        <f t="shared" si="6"/>
        <v>4</v>
      </c>
      <c r="I226" s="10">
        <f>YEAR(Sheet1!$A226)</f>
        <v>2025</v>
      </c>
      <c r="J226" s="10">
        <f>DAY(Sheet1!$A226)</f>
        <v>19</v>
      </c>
      <c r="K226" s="12" t="s">
        <v>2023</v>
      </c>
      <c r="L226" s="13" t="str">
        <f t="shared" si="7"/>
        <v>Regular Customer</v>
      </c>
    </row>
    <row r="227" spans="1:12" ht="15.75" customHeight="1" x14ac:dyDescent="0.3">
      <c r="A227" s="14">
        <v>45770</v>
      </c>
      <c r="B227" s="15" t="s">
        <v>1848</v>
      </c>
      <c r="C227" s="15" t="s">
        <v>18</v>
      </c>
      <c r="D227" s="15" t="s">
        <v>19</v>
      </c>
      <c r="E227" s="16">
        <v>6.32</v>
      </c>
      <c r="F227" s="15" t="s">
        <v>11</v>
      </c>
      <c r="G227" s="15">
        <v>12.64</v>
      </c>
      <c r="H227" s="17">
        <f t="shared" si="6"/>
        <v>4</v>
      </c>
      <c r="I227" s="17">
        <f>YEAR(Sheet1!$A227)</f>
        <v>2025</v>
      </c>
      <c r="J227" s="17">
        <f>DAY(Sheet1!$A227)</f>
        <v>23</v>
      </c>
      <c r="K227" s="18" t="s">
        <v>2023</v>
      </c>
      <c r="L227" s="19" t="str">
        <f t="shared" si="7"/>
        <v>Regular Customer</v>
      </c>
    </row>
    <row r="228" spans="1:12" ht="15.75" customHeight="1" x14ac:dyDescent="0.3">
      <c r="A228" s="7">
        <v>45454</v>
      </c>
      <c r="B228" s="8" t="s">
        <v>1105</v>
      </c>
      <c r="C228" s="8" t="s">
        <v>13</v>
      </c>
      <c r="D228" s="8" t="s">
        <v>9</v>
      </c>
      <c r="E228" s="9">
        <v>6.36</v>
      </c>
      <c r="F228" s="8" t="s">
        <v>10</v>
      </c>
      <c r="G228" s="8">
        <v>12.72</v>
      </c>
      <c r="H228" s="10">
        <f t="shared" si="6"/>
        <v>6</v>
      </c>
      <c r="I228" s="10">
        <f>YEAR(Sheet1!$A228)</f>
        <v>2024</v>
      </c>
      <c r="J228" s="10">
        <f>DAY(Sheet1!$A228)</f>
        <v>11</v>
      </c>
      <c r="K228" s="12" t="s">
        <v>2022</v>
      </c>
      <c r="L228" s="13" t="str">
        <f t="shared" si="7"/>
        <v>Regular Customer</v>
      </c>
    </row>
    <row r="229" spans="1:12" ht="15.75" customHeight="1" x14ac:dyDescent="0.3">
      <c r="A229" s="14">
        <v>45480</v>
      </c>
      <c r="B229" s="15" t="s">
        <v>1893</v>
      </c>
      <c r="C229" s="15" t="s">
        <v>24</v>
      </c>
      <c r="D229" s="15" t="s">
        <v>16</v>
      </c>
      <c r="E229" s="16">
        <v>12.73</v>
      </c>
      <c r="F229" s="15" t="s">
        <v>11</v>
      </c>
      <c r="G229" s="15">
        <v>12.73</v>
      </c>
      <c r="H229" s="17">
        <f t="shared" si="6"/>
        <v>7</v>
      </c>
      <c r="I229" s="17">
        <f>YEAR(Sheet1!$A229)</f>
        <v>2024</v>
      </c>
      <c r="J229" s="17">
        <f>DAY(Sheet1!$A229)</f>
        <v>7</v>
      </c>
      <c r="K229" s="18" t="s">
        <v>2022</v>
      </c>
      <c r="L229" s="19" t="str">
        <f t="shared" si="7"/>
        <v>Regular Customer</v>
      </c>
    </row>
    <row r="230" spans="1:12" ht="15.75" customHeight="1" x14ac:dyDescent="0.3">
      <c r="A230" s="7">
        <v>45455</v>
      </c>
      <c r="B230" s="8" t="s">
        <v>251</v>
      </c>
      <c r="C230" s="8" t="s">
        <v>13</v>
      </c>
      <c r="D230" s="8" t="s">
        <v>14</v>
      </c>
      <c r="E230" s="9">
        <v>12.78</v>
      </c>
      <c r="F230" s="8" t="s">
        <v>10</v>
      </c>
      <c r="G230" s="8">
        <v>12.78</v>
      </c>
      <c r="H230" s="10">
        <f t="shared" si="6"/>
        <v>6</v>
      </c>
      <c r="I230" s="10">
        <f>YEAR(Sheet1!$A230)</f>
        <v>2024</v>
      </c>
      <c r="J230" s="10">
        <f>DAY(Sheet1!$A230)</f>
        <v>12</v>
      </c>
      <c r="K230" s="12" t="s">
        <v>2022</v>
      </c>
      <c r="L230" s="13" t="str">
        <f t="shared" si="7"/>
        <v>Regular Customer</v>
      </c>
    </row>
    <row r="231" spans="1:12" ht="15.75" customHeight="1" x14ac:dyDescent="0.3">
      <c r="A231" s="14">
        <v>45505</v>
      </c>
      <c r="B231" s="15" t="s">
        <v>1861</v>
      </c>
      <c r="C231" s="15" t="s">
        <v>8</v>
      </c>
      <c r="D231" s="15" t="s">
        <v>16</v>
      </c>
      <c r="E231" s="16">
        <v>12.81</v>
      </c>
      <c r="F231" s="15" t="s">
        <v>11</v>
      </c>
      <c r="G231" s="15">
        <v>12.81</v>
      </c>
      <c r="H231" s="17">
        <f t="shared" si="6"/>
        <v>8</v>
      </c>
      <c r="I231" s="17">
        <f>YEAR(Sheet1!$A231)</f>
        <v>2024</v>
      </c>
      <c r="J231" s="17">
        <f>DAY(Sheet1!$A231)</f>
        <v>1</v>
      </c>
      <c r="K231" s="18" t="s">
        <v>2022</v>
      </c>
      <c r="L231" s="19" t="str">
        <f t="shared" si="7"/>
        <v>Regular Customer</v>
      </c>
    </row>
    <row r="232" spans="1:12" ht="15.75" customHeight="1" x14ac:dyDescent="0.3">
      <c r="A232" s="7">
        <v>45557</v>
      </c>
      <c r="B232" s="8" t="s">
        <v>144</v>
      </c>
      <c r="C232" s="8" t="s">
        <v>8</v>
      </c>
      <c r="D232" s="8" t="s">
        <v>16</v>
      </c>
      <c r="E232" s="9">
        <v>12.84</v>
      </c>
      <c r="F232" s="8" t="s">
        <v>10</v>
      </c>
      <c r="G232" s="8">
        <v>12.84</v>
      </c>
      <c r="H232" s="10">
        <f t="shared" si="6"/>
        <v>9</v>
      </c>
      <c r="I232" s="10">
        <f>YEAR(Sheet1!$A232)</f>
        <v>2024</v>
      </c>
      <c r="J232" s="10">
        <f>DAY(Sheet1!$A232)</f>
        <v>22</v>
      </c>
      <c r="K232" s="12" t="s">
        <v>2023</v>
      </c>
      <c r="L232" s="13" t="str">
        <f t="shared" si="7"/>
        <v>Regular Customer</v>
      </c>
    </row>
    <row r="233" spans="1:12" ht="15.75" customHeight="1" x14ac:dyDescent="0.3">
      <c r="A233" s="14">
        <v>45537</v>
      </c>
      <c r="B233" s="15" t="s">
        <v>403</v>
      </c>
      <c r="C233" s="15" t="s">
        <v>8</v>
      </c>
      <c r="D233" s="15" t="s">
        <v>9</v>
      </c>
      <c r="E233" s="16">
        <v>12.87</v>
      </c>
      <c r="F233" s="15" t="s">
        <v>10</v>
      </c>
      <c r="G233" s="15">
        <v>12.87</v>
      </c>
      <c r="H233" s="17">
        <f t="shared" si="6"/>
        <v>9</v>
      </c>
      <c r="I233" s="17">
        <f>YEAR(Sheet1!$A233)</f>
        <v>2024</v>
      </c>
      <c r="J233" s="17">
        <f>DAY(Sheet1!$A233)</f>
        <v>2</v>
      </c>
      <c r="K233" s="18" t="s">
        <v>2022</v>
      </c>
      <c r="L233" s="19" t="str">
        <f t="shared" si="7"/>
        <v>Regular Customer</v>
      </c>
    </row>
    <row r="234" spans="1:12" ht="15.75" customHeight="1" x14ac:dyDescent="0.3">
      <c r="A234" s="7">
        <v>45646</v>
      </c>
      <c r="B234" s="8" t="s">
        <v>1634</v>
      </c>
      <c r="C234" s="8" t="s">
        <v>24</v>
      </c>
      <c r="D234" s="8" t="s">
        <v>19</v>
      </c>
      <c r="E234" s="9">
        <v>6.44</v>
      </c>
      <c r="F234" s="8" t="s">
        <v>11</v>
      </c>
      <c r="G234" s="8">
        <v>12.88</v>
      </c>
      <c r="H234" s="10">
        <f t="shared" si="6"/>
        <v>12</v>
      </c>
      <c r="I234" s="10">
        <f>YEAR(Sheet1!$A234)</f>
        <v>2024</v>
      </c>
      <c r="J234" s="10">
        <f>DAY(Sheet1!$A234)</f>
        <v>20</v>
      </c>
      <c r="K234" s="12" t="s">
        <v>2023</v>
      </c>
      <c r="L234" s="13" t="str">
        <f t="shared" si="7"/>
        <v>Regular Customer</v>
      </c>
    </row>
    <row r="235" spans="1:12" ht="15.75" customHeight="1" x14ac:dyDescent="0.3">
      <c r="A235" s="14">
        <v>45543</v>
      </c>
      <c r="B235" s="15" t="s">
        <v>1827</v>
      </c>
      <c r="C235" s="15" t="s">
        <v>13</v>
      </c>
      <c r="D235" s="15" t="s">
        <v>19</v>
      </c>
      <c r="E235" s="16">
        <v>6.47</v>
      </c>
      <c r="F235" s="15" t="s">
        <v>11</v>
      </c>
      <c r="G235" s="15">
        <v>12.94</v>
      </c>
      <c r="H235" s="17">
        <f t="shared" si="6"/>
        <v>9</v>
      </c>
      <c r="I235" s="17">
        <f>YEAR(Sheet1!$A235)</f>
        <v>2024</v>
      </c>
      <c r="J235" s="17">
        <f>DAY(Sheet1!$A235)</f>
        <v>8</v>
      </c>
      <c r="K235" s="18" t="s">
        <v>2022</v>
      </c>
      <c r="L235" s="19" t="str">
        <f t="shared" si="7"/>
        <v>Regular Customer</v>
      </c>
    </row>
    <row r="236" spans="1:12" ht="15.75" customHeight="1" x14ac:dyDescent="0.3">
      <c r="A236" s="7">
        <v>45644</v>
      </c>
      <c r="B236" s="8" t="s">
        <v>961</v>
      </c>
      <c r="C236" s="8" t="s">
        <v>13</v>
      </c>
      <c r="D236" s="8" t="s">
        <v>19</v>
      </c>
      <c r="E236" s="9">
        <v>12.95</v>
      </c>
      <c r="F236" s="8" t="s">
        <v>11</v>
      </c>
      <c r="G236" s="8">
        <v>12.95</v>
      </c>
      <c r="H236" s="10">
        <f t="shared" si="6"/>
        <v>12</v>
      </c>
      <c r="I236" s="10">
        <f>YEAR(Sheet1!$A236)</f>
        <v>2024</v>
      </c>
      <c r="J236" s="10">
        <f>DAY(Sheet1!$A236)</f>
        <v>18</v>
      </c>
      <c r="K236" s="12" t="s">
        <v>2022</v>
      </c>
      <c r="L236" s="13" t="str">
        <f t="shared" si="7"/>
        <v>Regular Customer</v>
      </c>
    </row>
    <row r="237" spans="1:12" ht="15.75" customHeight="1" x14ac:dyDescent="0.3">
      <c r="A237" s="14">
        <v>45469</v>
      </c>
      <c r="B237" s="15" t="s">
        <v>119</v>
      </c>
      <c r="C237" s="15" t="s">
        <v>18</v>
      </c>
      <c r="D237" s="15" t="s">
        <v>19</v>
      </c>
      <c r="E237" s="16">
        <v>6.48</v>
      </c>
      <c r="F237" s="15" t="s">
        <v>10</v>
      </c>
      <c r="G237" s="15">
        <v>12.96</v>
      </c>
      <c r="H237" s="17">
        <f t="shared" si="6"/>
        <v>6</v>
      </c>
      <c r="I237" s="17">
        <f>YEAR(Sheet1!$A237)</f>
        <v>2024</v>
      </c>
      <c r="J237" s="17">
        <f>DAY(Sheet1!$A237)</f>
        <v>26</v>
      </c>
      <c r="K237" s="18" t="s">
        <v>2022</v>
      </c>
      <c r="L237" s="19" t="str">
        <f t="shared" si="7"/>
        <v>Regular Customer</v>
      </c>
    </row>
    <row r="238" spans="1:12" ht="15.75" customHeight="1" x14ac:dyDescent="0.3">
      <c r="A238" s="7">
        <v>45433</v>
      </c>
      <c r="B238" s="8" t="s">
        <v>1347</v>
      </c>
      <c r="C238" s="8" t="s">
        <v>24</v>
      </c>
      <c r="D238" s="8" t="s">
        <v>19</v>
      </c>
      <c r="E238" s="9">
        <v>6.52</v>
      </c>
      <c r="F238" s="8" t="s">
        <v>11</v>
      </c>
      <c r="G238" s="8">
        <v>13.04</v>
      </c>
      <c r="H238" s="10">
        <f t="shared" si="6"/>
        <v>5</v>
      </c>
      <c r="I238" s="10">
        <f>YEAR(Sheet1!$A238)</f>
        <v>2024</v>
      </c>
      <c r="J238" s="10">
        <f>DAY(Sheet1!$A238)</f>
        <v>21</v>
      </c>
      <c r="K238" s="12" t="s">
        <v>2023</v>
      </c>
      <c r="L238" s="13" t="str">
        <f t="shared" si="7"/>
        <v>Regular Customer</v>
      </c>
    </row>
    <row r="239" spans="1:12" ht="15.75" customHeight="1" x14ac:dyDescent="0.3">
      <c r="A239" s="14">
        <v>45661</v>
      </c>
      <c r="B239" s="15" t="s">
        <v>463</v>
      </c>
      <c r="C239" s="15" t="s">
        <v>13</v>
      </c>
      <c r="D239" s="15" t="s">
        <v>19</v>
      </c>
      <c r="E239" s="16">
        <v>13.05</v>
      </c>
      <c r="F239" s="15" t="s">
        <v>10</v>
      </c>
      <c r="G239" s="15">
        <v>13.05</v>
      </c>
      <c r="H239" s="17">
        <f t="shared" si="6"/>
        <v>1</v>
      </c>
      <c r="I239" s="17">
        <f>YEAR(Sheet1!$A239)</f>
        <v>2025</v>
      </c>
      <c r="J239" s="17">
        <f>DAY(Sheet1!$A239)</f>
        <v>4</v>
      </c>
      <c r="K239" s="18" t="s">
        <v>2023</v>
      </c>
      <c r="L239" s="19" t="str">
        <f t="shared" si="7"/>
        <v>Regular Customer</v>
      </c>
    </row>
    <row r="240" spans="1:12" ht="15.75" customHeight="1" x14ac:dyDescent="0.3">
      <c r="A240" s="7">
        <v>45576</v>
      </c>
      <c r="B240" s="8" t="s">
        <v>1561</v>
      </c>
      <c r="C240" s="8" t="s">
        <v>13</v>
      </c>
      <c r="D240" s="8" t="s">
        <v>16</v>
      </c>
      <c r="E240" s="9">
        <v>13.09</v>
      </c>
      <c r="F240" s="8" t="s">
        <v>11</v>
      </c>
      <c r="G240" s="8">
        <v>13.09</v>
      </c>
      <c r="H240" s="10">
        <f t="shared" si="6"/>
        <v>10</v>
      </c>
      <c r="I240" s="10">
        <f>YEAR(Sheet1!$A240)</f>
        <v>2024</v>
      </c>
      <c r="J240" s="10">
        <f>DAY(Sheet1!$A240)</f>
        <v>11</v>
      </c>
      <c r="K240" s="12" t="s">
        <v>2022</v>
      </c>
      <c r="L240" s="13" t="str">
        <f t="shared" si="7"/>
        <v>Regular Customer</v>
      </c>
    </row>
    <row r="241" spans="1:12" ht="15.75" customHeight="1" x14ac:dyDescent="0.3">
      <c r="A241" s="14">
        <v>45470</v>
      </c>
      <c r="B241" s="15" t="s">
        <v>935</v>
      </c>
      <c r="C241" s="15" t="s">
        <v>24</v>
      </c>
      <c r="D241" s="15" t="s">
        <v>14</v>
      </c>
      <c r="E241" s="16">
        <v>13.11</v>
      </c>
      <c r="F241" s="15" t="s">
        <v>11</v>
      </c>
      <c r="G241" s="15">
        <v>13.11</v>
      </c>
      <c r="H241" s="17">
        <f t="shared" si="6"/>
        <v>6</v>
      </c>
      <c r="I241" s="17">
        <f>YEAR(Sheet1!$A241)</f>
        <v>2024</v>
      </c>
      <c r="J241" s="17">
        <f>DAY(Sheet1!$A241)</f>
        <v>27</v>
      </c>
      <c r="K241" s="18" t="s">
        <v>2022</v>
      </c>
      <c r="L241" s="19" t="str">
        <f t="shared" si="7"/>
        <v>Regular Customer</v>
      </c>
    </row>
    <row r="242" spans="1:12" ht="15.75" customHeight="1" x14ac:dyDescent="0.3">
      <c r="A242" s="7">
        <v>45568</v>
      </c>
      <c r="B242" s="8" t="s">
        <v>1514</v>
      </c>
      <c r="C242" s="8" t="s">
        <v>8</v>
      </c>
      <c r="D242" s="8" t="s">
        <v>9</v>
      </c>
      <c r="E242" s="9">
        <v>6.57</v>
      </c>
      <c r="F242" s="8" t="s">
        <v>10</v>
      </c>
      <c r="G242" s="8">
        <v>13.14</v>
      </c>
      <c r="H242" s="10">
        <f t="shared" si="6"/>
        <v>10</v>
      </c>
      <c r="I242" s="10">
        <f>YEAR(Sheet1!$A242)</f>
        <v>2024</v>
      </c>
      <c r="J242" s="10">
        <f>DAY(Sheet1!$A242)</f>
        <v>3</v>
      </c>
      <c r="K242" s="12" t="s">
        <v>2022</v>
      </c>
      <c r="L242" s="13" t="str">
        <f t="shared" si="7"/>
        <v>Regular Customer</v>
      </c>
    </row>
    <row r="243" spans="1:12" ht="15.75" customHeight="1" x14ac:dyDescent="0.3">
      <c r="A243" s="14">
        <v>45583</v>
      </c>
      <c r="B243" s="15" t="s">
        <v>1534</v>
      </c>
      <c r="C243" s="15" t="s">
        <v>18</v>
      </c>
      <c r="D243" s="15" t="s">
        <v>19</v>
      </c>
      <c r="E243" s="16">
        <v>13.15</v>
      </c>
      <c r="F243" s="15" t="s">
        <v>10</v>
      </c>
      <c r="G243" s="15">
        <v>13.15</v>
      </c>
      <c r="H243" s="17">
        <f t="shared" si="6"/>
        <v>10</v>
      </c>
      <c r="I243" s="17">
        <f>YEAR(Sheet1!$A243)</f>
        <v>2024</v>
      </c>
      <c r="J243" s="17">
        <f>DAY(Sheet1!$A243)</f>
        <v>18</v>
      </c>
      <c r="K243" s="18" t="s">
        <v>2023</v>
      </c>
      <c r="L243" s="19" t="str">
        <f t="shared" si="7"/>
        <v>Regular Customer</v>
      </c>
    </row>
    <row r="244" spans="1:12" ht="15.75" customHeight="1" x14ac:dyDescent="0.3">
      <c r="A244" s="7">
        <v>45740</v>
      </c>
      <c r="B244" s="8" t="s">
        <v>1885</v>
      </c>
      <c r="C244" s="8" t="s">
        <v>24</v>
      </c>
      <c r="D244" s="8" t="s">
        <v>14</v>
      </c>
      <c r="E244" s="9">
        <v>13.17</v>
      </c>
      <c r="F244" s="8" t="s">
        <v>11</v>
      </c>
      <c r="G244" s="8">
        <v>13.17</v>
      </c>
      <c r="H244" s="10">
        <f t="shared" si="6"/>
        <v>3</v>
      </c>
      <c r="I244" s="10">
        <f>YEAR(Sheet1!$A244)</f>
        <v>2025</v>
      </c>
      <c r="J244" s="10">
        <f>DAY(Sheet1!$A244)</f>
        <v>24</v>
      </c>
      <c r="K244" s="12" t="s">
        <v>2023</v>
      </c>
      <c r="L244" s="13" t="str">
        <f t="shared" si="7"/>
        <v>Regular Customer</v>
      </c>
    </row>
    <row r="245" spans="1:12" ht="15.75" customHeight="1" x14ac:dyDescent="0.3">
      <c r="A245" s="14">
        <v>45669</v>
      </c>
      <c r="B245" s="15" t="s">
        <v>988</v>
      </c>
      <c r="C245" s="15" t="s">
        <v>24</v>
      </c>
      <c r="D245" s="15" t="s">
        <v>16</v>
      </c>
      <c r="E245" s="16">
        <v>6.59</v>
      </c>
      <c r="F245" s="15" t="s">
        <v>11</v>
      </c>
      <c r="G245" s="15">
        <v>13.18</v>
      </c>
      <c r="H245" s="17">
        <f t="shared" si="6"/>
        <v>1</v>
      </c>
      <c r="I245" s="17">
        <f>YEAR(Sheet1!$A245)</f>
        <v>2025</v>
      </c>
      <c r="J245" s="17">
        <f>DAY(Sheet1!$A245)</f>
        <v>12</v>
      </c>
      <c r="K245" s="18" t="s">
        <v>2023</v>
      </c>
      <c r="L245" s="19" t="str">
        <f t="shared" si="7"/>
        <v>Regular Customer</v>
      </c>
    </row>
    <row r="246" spans="1:12" ht="15.75" customHeight="1" x14ac:dyDescent="0.3">
      <c r="A246" s="7">
        <v>45574</v>
      </c>
      <c r="B246" s="8" t="s">
        <v>1544</v>
      </c>
      <c r="C246" s="8" t="s">
        <v>13</v>
      </c>
      <c r="D246" s="8" t="s">
        <v>19</v>
      </c>
      <c r="E246" s="9">
        <v>13.2</v>
      </c>
      <c r="F246" s="8" t="s">
        <v>10</v>
      </c>
      <c r="G246" s="8">
        <v>13.2</v>
      </c>
      <c r="H246" s="10">
        <f t="shared" si="6"/>
        <v>10</v>
      </c>
      <c r="I246" s="10">
        <f>YEAR(Sheet1!$A246)</f>
        <v>2024</v>
      </c>
      <c r="J246" s="10">
        <f>DAY(Sheet1!$A246)</f>
        <v>9</v>
      </c>
      <c r="K246" s="12" t="s">
        <v>2023</v>
      </c>
      <c r="L246" s="13" t="str">
        <f t="shared" si="7"/>
        <v>Regular Customer</v>
      </c>
    </row>
    <row r="247" spans="1:12" ht="15.75" customHeight="1" x14ac:dyDescent="0.3">
      <c r="A247" s="14">
        <v>45489</v>
      </c>
      <c r="B247" s="15" t="s">
        <v>165</v>
      </c>
      <c r="C247" s="15" t="s">
        <v>8</v>
      </c>
      <c r="D247" s="15" t="s">
        <v>14</v>
      </c>
      <c r="E247" s="16">
        <v>13.24</v>
      </c>
      <c r="F247" s="15" t="s">
        <v>10</v>
      </c>
      <c r="G247" s="15">
        <v>13.24</v>
      </c>
      <c r="H247" s="17">
        <f t="shared" si="6"/>
        <v>7</v>
      </c>
      <c r="I247" s="17">
        <f>YEAR(Sheet1!$A247)</f>
        <v>2024</v>
      </c>
      <c r="J247" s="17">
        <f>DAY(Sheet1!$A247)</f>
        <v>16</v>
      </c>
      <c r="K247" s="18" t="s">
        <v>2022</v>
      </c>
      <c r="L247" s="19" t="str">
        <f t="shared" si="7"/>
        <v>Regular Customer</v>
      </c>
    </row>
    <row r="248" spans="1:12" ht="15.75" customHeight="1" x14ac:dyDescent="0.3">
      <c r="A248" s="7">
        <v>45476</v>
      </c>
      <c r="B248" s="8" t="s">
        <v>1649</v>
      </c>
      <c r="C248" s="8" t="s">
        <v>8</v>
      </c>
      <c r="D248" s="8" t="s">
        <v>19</v>
      </c>
      <c r="E248" s="9">
        <v>6.64</v>
      </c>
      <c r="F248" s="8" t="s">
        <v>11</v>
      </c>
      <c r="G248" s="8">
        <v>13.28</v>
      </c>
      <c r="H248" s="10">
        <f t="shared" si="6"/>
        <v>7</v>
      </c>
      <c r="I248" s="10">
        <f>YEAR(Sheet1!$A248)</f>
        <v>2024</v>
      </c>
      <c r="J248" s="10">
        <f>DAY(Sheet1!$A248)</f>
        <v>3</v>
      </c>
      <c r="K248" s="12" t="s">
        <v>2022</v>
      </c>
      <c r="L248" s="13" t="str">
        <f t="shared" si="7"/>
        <v>Regular Customer</v>
      </c>
    </row>
    <row r="249" spans="1:12" ht="15.75" customHeight="1" x14ac:dyDescent="0.3">
      <c r="A249" s="14">
        <v>45640</v>
      </c>
      <c r="B249" s="15" t="s">
        <v>353</v>
      </c>
      <c r="C249" s="15" t="s">
        <v>24</v>
      </c>
      <c r="D249" s="15" t="s">
        <v>14</v>
      </c>
      <c r="E249" s="16">
        <v>6.64</v>
      </c>
      <c r="F249" s="15" t="s">
        <v>10</v>
      </c>
      <c r="G249" s="15">
        <v>13.28</v>
      </c>
      <c r="H249" s="17">
        <f t="shared" si="6"/>
        <v>12</v>
      </c>
      <c r="I249" s="17">
        <f>YEAR(Sheet1!$A249)</f>
        <v>2024</v>
      </c>
      <c r="J249" s="17">
        <f>DAY(Sheet1!$A249)</f>
        <v>14</v>
      </c>
      <c r="K249" s="18" t="s">
        <v>2023</v>
      </c>
      <c r="L249" s="19" t="str">
        <f t="shared" si="7"/>
        <v>Regular Customer</v>
      </c>
    </row>
    <row r="250" spans="1:12" ht="15.75" customHeight="1" x14ac:dyDescent="0.3">
      <c r="A250" s="7">
        <v>45718</v>
      </c>
      <c r="B250" s="8" t="s">
        <v>93</v>
      </c>
      <c r="C250" s="8" t="s">
        <v>24</v>
      </c>
      <c r="D250" s="8" t="s">
        <v>19</v>
      </c>
      <c r="E250" s="9">
        <v>13.43</v>
      </c>
      <c r="F250" s="8" t="s">
        <v>10</v>
      </c>
      <c r="G250" s="8">
        <v>13.43</v>
      </c>
      <c r="H250" s="10">
        <f t="shared" si="6"/>
        <v>3</v>
      </c>
      <c r="I250" s="10">
        <f>YEAR(Sheet1!$A250)</f>
        <v>2025</v>
      </c>
      <c r="J250" s="10">
        <f>DAY(Sheet1!$A250)</f>
        <v>2</v>
      </c>
      <c r="K250" s="12" t="s">
        <v>2023</v>
      </c>
      <c r="L250" s="13" t="str">
        <f t="shared" si="7"/>
        <v>Regular Customer</v>
      </c>
    </row>
    <row r="251" spans="1:12" ht="15.75" customHeight="1" x14ac:dyDescent="0.3">
      <c r="A251" s="14">
        <v>45739</v>
      </c>
      <c r="B251" s="15" t="s">
        <v>1911</v>
      </c>
      <c r="C251" s="15" t="s">
        <v>18</v>
      </c>
      <c r="D251" s="15" t="s">
        <v>9</v>
      </c>
      <c r="E251" s="16">
        <v>6.72</v>
      </c>
      <c r="F251" s="15" t="s">
        <v>10</v>
      </c>
      <c r="G251" s="15">
        <v>13.44</v>
      </c>
      <c r="H251" s="17">
        <f t="shared" si="6"/>
        <v>3</v>
      </c>
      <c r="I251" s="17">
        <f>YEAR(Sheet1!$A251)</f>
        <v>2025</v>
      </c>
      <c r="J251" s="17">
        <f>DAY(Sheet1!$A251)</f>
        <v>23</v>
      </c>
      <c r="K251" s="18" t="s">
        <v>2022</v>
      </c>
      <c r="L251" s="19" t="str">
        <f t="shared" si="7"/>
        <v>Regular Customer</v>
      </c>
    </row>
    <row r="252" spans="1:12" ht="15.75" customHeight="1" x14ac:dyDescent="0.3">
      <c r="A252" s="7">
        <v>45774</v>
      </c>
      <c r="B252" s="8" t="s">
        <v>85</v>
      </c>
      <c r="C252" s="8" t="s">
        <v>18</v>
      </c>
      <c r="D252" s="8" t="s">
        <v>16</v>
      </c>
      <c r="E252" s="9">
        <v>13.56</v>
      </c>
      <c r="F252" s="8" t="s">
        <v>11</v>
      </c>
      <c r="G252" s="8">
        <v>13.56</v>
      </c>
      <c r="H252" s="10">
        <f t="shared" si="6"/>
        <v>4</v>
      </c>
      <c r="I252" s="10">
        <f>YEAR(Sheet1!$A252)</f>
        <v>2025</v>
      </c>
      <c r="J252" s="10">
        <f>DAY(Sheet1!$A252)</f>
        <v>27</v>
      </c>
      <c r="K252" s="12" t="s">
        <v>2022</v>
      </c>
      <c r="L252" s="13" t="str">
        <f t="shared" si="7"/>
        <v>Regular Customer</v>
      </c>
    </row>
    <row r="253" spans="1:12" ht="15.75" customHeight="1" x14ac:dyDescent="0.3">
      <c r="A253" s="14">
        <v>45723</v>
      </c>
      <c r="B253" s="15" t="s">
        <v>1408</v>
      </c>
      <c r="C253" s="15" t="s">
        <v>18</v>
      </c>
      <c r="D253" s="15" t="s">
        <v>9</v>
      </c>
      <c r="E253" s="16">
        <v>6.8</v>
      </c>
      <c r="F253" s="15" t="s">
        <v>11</v>
      </c>
      <c r="G253" s="15">
        <v>13.6</v>
      </c>
      <c r="H253" s="17">
        <f t="shared" si="6"/>
        <v>3</v>
      </c>
      <c r="I253" s="17">
        <f>YEAR(Sheet1!$A253)</f>
        <v>2025</v>
      </c>
      <c r="J253" s="17">
        <f>DAY(Sheet1!$A253)</f>
        <v>7</v>
      </c>
      <c r="K253" s="18" t="s">
        <v>2023</v>
      </c>
      <c r="L253" s="19" t="str">
        <f t="shared" si="7"/>
        <v>Regular Customer</v>
      </c>
    </row>
    <row r="254" spans="1:12" ht="15.75" customHeight="1" x14ac:dyDescent="0.3">
      <c r="A254" s="7">
        <v>45707</v>
      </c>
      <c r="B254" s="8" t="s">
        <v>268</v>
      </c>
      <c r="C254" s="8" t="s">
        <v>8</v>
      </c>
      <c r="D254" s="8" t="s">
        <v>16</v>
      </c>
      <c r="E254" s="9">
        <v>13.62</v>
      </c>
      <c r="F254" s="8" t="s">
        <v>11</v>
      </c>
      <c r="G254" s="8">
        <v>13.62</v>
      </c>
      <c r="H254" s="10">
        <f t="shared" si="6"/>
        <v>2</v>
      </c>
      <c r="I254" s="10">
        <f>YEAR(Sheet1!$A254)</f>
        <v>2025</v>
      </c>
      <c r="J254" s="10">
        <f>DAY(Sheet1!$A254)</f>
        <v>19</v>
      </c>
      <c r="K254" s="12" t="s">
        <v>2022</v>
      </c>
      <c r="L254" s="13" t="str">
        <f t="shared" si="7"/>
        <v>Regular Customer</v>
      </c>
    </row>
    <row r="255" spans="1:12" ht="15.75" customHeight="1" x14ac:dyDescent="0.3">
      <c r="A255" s="14">
        <v>45536</v>
      </c>
      <c r="B255" s="15" t="s">
        <v>1573</v>
      </c>
      <c r="C255" s="15" t="s">
        <v>18</v>
      </c>
      <c r="D255" s="15" t="s">
        <v>9</v>
      </c>
      <c r="E255" s="16">
        <v>13.65</v>
      </c>
      <c r="F255" s="15" t="s">
        <v>11</v>
      </c>
      <c r="G255" s="15">
        <v>13.65</v>
      </c>
      <c r="H255" s="17">
        <f t="shared" si="6"/>
        <v>9</v>
      </c>
      <c r="I255" s="17">
        <f>YEAR(Sheet1!$A255)</f>
        <v>2024</v>
      </c>
      <c r="J255" s="17">
        <f>DAY(Sheet1!$A255)</f>
        <v>1</v>
      </c>
      <c r="K255" s="18" t="s">
        <v>2023</v>
      </c>
      <c r="L255" s="19" t="str">
        <f t="shared" si="7"/>
        <v>Regular Customer</v>
      </c>
    </row>
    <row r="256" spans="1:12" ht="15.75" customHeight="1" x14ac:dyDescent="0.3">
      <c r="A256" s="7">
        <v>45712</v>
      </c>
      <c r="B256" s="8" t="s">
        <v>1429</v>
      </c>
      <c r="C256" s="8" t="s">
        <v>18</v>
      </c>
      <c r="D256" s="8" t="s">
        <v>9</v>
      </c>
      <c r="E256" s="9">
        <v>13.66</v>
      </c>
      <c r="F256" s="8" t="s">
        <v>11</v>
      </c>
      <c r="G256" s="8">
        <v>13.66</v>
      </c>
      <c r="H256" s="10">
        <f t="shared" si="6"/>
        <v>2</v>
      </c>
      <c r="I256" s="10">
        <f>YEAR(Sheet1!$A256)</f>
        <v>2025</v>
      </c>
      <c r="J256" s="10">
        <f>DAY(Sheet1!$A256)</f>
        <v>24</v>
      </c>
      <c r="K256" s="12" t="s">
        <v>2023</v>
      </c>
      <c r="L256" s="13" t="str">
        <f t="shared" si="7"/>
        <v>Regular Customer</v>
      </c>
    </row>
    <row r="257" spans="1:12" ht="15.75" customHeight="1" x14ac:dyDescent="0.3">
      <c r="A257" s="14">
        <v>45514</v>
      </c>
      <c r="B257" s="15" t="s">
        <v>1010</v>
      </c>
      <c r="C257" s="15" t="s">
        <v>13</v>
      </c>
      <c r="D257" s="15" t="s">
        <v>19</v>
      </c>
      <c r="E257" s="16">
        <v>13.68</v>
      </c>
      <c r="F257" s="15" t="s">
        <v>10</v>
      </c>
      <c r="G257" s="15">
        <v>13.68</v>
      </c>
      <c r="H257" s="17">
        <f t="shared" si="6"/>
        <v>8</v>
      </c>
      <c r="I257" s="17">
        <f>YEAR(Sheet1!$A257)</f>
        <v>2024</v>
      </c>
      <c r="J257" s="17">
        <f>DAY(Sheet1!$A257)</f>
        <v>10</v>
      </c>
      <c r="K257" s="18" t="s">
        <v>2022</v>
      </c>
      <c r="L257" s="19" t="str">
        <f t="shared" si="7"/>
        <v>Regular Customer</v>
      </c>
    </row>
    <row r="258" spans="1:12" ht="15.75" customHeight="1" x14ac:dyDescent="0.3">
      <c r="A258" s="7">
        <v>45545</v>
      </c>
      <c r="B258" s="8" t="s">
        <v>84</v>
      </c>
      <c r="C258" s="8" t="s">
        <v>8</v>
      </c>
      <c r="D258" s="8" t="s">
        <v>19</v>
      </c>
      <c r="E258" s="9">
        <v>13.69</v>
      </c>
      <c r="F258" s="8" t="s">
        <v>10</v>
      </c>
      <c r="G258" s="8">
        <v>13.69</v>
      </c>
      <c r="H258" s="10">
        <f t="shared" ref="H258:H321" si="8">MONTH(A258)</f>
        <v>9</v>
      </c>
      <c r="I258" s="10">
        <f>YEAR(Sheet1!$A258)</f>
        <v>2024</v>
      </c>
      <c r="J258" s="10">
        <f>DAY(Sheet1!$A258)</f>
        <v>10</v>
      </c>
      <c r="K258" s="12" t="s">
        <v>2023</v>
      </c>
      <c r="L258" s="13" t="str">
        <f t="shared" ref="L258:L321" si="9">IF(G258&gt;50,"Premium Customer","Regular Customer")</f>
        <v>Regular Customer</v>
      </c>
    </row>
    <row r="259" spans="1:12" ht="15.75" customHeight="1" x14ac:dyDescent="0.3">
      <c r="A259" s="14">
        <v>45582</v>
      </c>
      <c r="B259" s="15" t="s">
        <v>791</v>
      </c>
      <c r="C259" s="15" t="s">
        <v>24</v>
      </c>
      <c r="D259" s="15" t="s">
        <v>19</v>
      </c>
      <c r="E259" s="16">
        <v>13.74</v>
      </c>
      <c r="F259" s="15" t="s">
        <v>10</v>
      </c>
      <c r="G259" s="15">
        <v>13.74</v>
      </c>
      <c r="H259" s="17">
        <f t="shared" si="8"/>
        <v>10</v>
      </c>
      <c r="I259" s="17">
        <f>YEAR(Sheet1!$A259)</f>
        <v>2024</v>
      </c>
      <c r="J259" s="17">
        <f>DAY(Sheet1!$A259)</f>
        <v>17</v>
      </c>
      <c r="K259" s="18" t="s">
        <v>2022</v>
      </c>
      <c r="L259" s="19" t="str">
        <f t="shared" si="9"/>
        <v>Regular Customer</v>
      </c>
    </row>
    <row r="260" spans="1:12" ht="15.75" customHeight="1" x14ac:dyDescent="0.3">
      <c r="A260" s="7">
        <v>45598</v>
      </c>
      <c r="B260" s="8" t="s">
        <v>958</v>
      </c>
      <c r="C260" s="8" t="s">
        <v>24</v>
      </c>
      <c r="D260" s="8" t="s">
        <v>16</v>
      </c>
      <c r="E260" s="9">
        <v>13.74</v>
      </c>
      <c r="F260" s="8" t="s">
        <v>11</v>
      </c>
      <c r="G260" s="8">
        <v>13.74</v>
      </c>
      <c r="H260" s="10">
        <f t="shared" si="8"/>
        <v>11</v>
      </c>
      <c r="I260" s="10">
        <f>YEAR(Sheet1!$A260)</f>
        <v>2024</v>
      </c>
      <c r="J260" s="10">
        <f>DAY(Sheet1!$A260)</f>
        <v>2</v>
      </c>
      <c r="K260" s="12" t="s">
        <v>2022</v>
      </c>
      <c r="L260" s="13" t="str">
        <f t="shared" si="9"/>
        <v>Regular Customer</v>
      </c>
    </row>
    <row r="261" spans="1:12" ht="15.75" customHeight="1" x14ac:dyDescent="0.3">
      <c r="A261" s="14">
        <v>45520</v>
      </c>
      <c r="B261" s="15" t="s">
        <v>1939</v>
      </c>
      <c r="C261" s="15" t="s">
        <v>13</v>
      </c>
      <c r="D261" s="15" t="s">
        <v>14</v>
      </c>
      <c r="E261" s="16">
        <v>13.76</v>
      </c>
      <c r="F261" s="15" t="s">
        <v>11</v>
      </c>
      <c r="G261" s="15">
        <v>13.76</v>
      </c>
      <c r="H261" s="17">
        <f t="shared" si="8"/>
        <v>8</v>
      </c>
      <c r="I261" s="17">
        <f>YEAR(Sheet1!$A261)</f>
        <v>2024</v>
      </c>
      <c r="J261" s="17">
        <f>DAY(Sheet1!$A261)</f>
        <v>16</v>
      </c>
      <c r="K261" s="18" t="s">
        <v>2022</v>
      </c>
      <c r="L261" s="19" t="str">
        <f t="shared" si="9"/>
        <v>Regular Customer</v>
      </c>
    </row>
    <row r="262" spans="1:12" ht="15.75" customHeight="1" x14ac:dyDescent="0.3">
      <c r="A262" s="7">
        <v>45552</v>
      </c>
      <c r="B262" s="8" t="s">
        <v>512</v>
      </c>
      <c r="C262" s="8" t="s">
        <v>13</v>
      </c>
      <c r="D262" s="8" t="s">
        <v>14</v>
      </c>
      <c r="E262" s="9">
        <v>13.77</v>
      </c>
      <c r="F262" s="8" t="s">
        <v>11</v>
      </c>
      <c r="G262" s="8">
        <v>13.77</v>
      </c>
      <c r="H262" s="10">
        <f t="shared" si="8"/>
        <v>9</v>
      </c>
      <c r="I262" s="10">
        <f>YEAR(Sheet1!$A262)</f>
        <v>2024</v>
      </c>
      <c r="J262" s="10">
        <f>DAY(Sheet1!$A262)</f>
        <v>17</v>
      </c>
      <c r="K262" s="12" t="s">
        <v>2023</v>
      </c>
      <c r="L262" s="13" t="str">
        <f t="shared" si="9"/>
        <v>Regular Customer</v>
      </c>
    </row>
    <row r="263" spans="1:12" ht="15.75" customHeight="1" x14ac:dyDescent="0.3">
      <c r="A263" s="14">
        <v>45556</v>
      </c>
      <c r="B263" s="15" t="s">
        <v>1359</v>
      </c>
      <c r="C263" s="15" t="s">
        <v>13</v>
      </c>
      <c r="D263" s="15" t="s">
        <v>9</v>
      </c>
      <c r="E263" s="16">
        <v>6.91</v>
      </c>
      <c r="F263" s="15" t="s">
        <v>10</v>
      </c>
      <c r="G263" s="15">
        <v>13.82</v>
      </c>
      <c r="H263" s="17">
        <f t="shared" si="8"/>
        <v>9</v>
      </c>
      <c r="I263" s="17">
        <f>YEAR(Sheet1!$A263)</f>
        <v>2024</v>
      </c>
      <c r="J263" s="17">
        <f>DAY(Sheet1!$A263)</f>
        <v>21</v>
      </c>
      <c r="K263" s="18" t="s">
        <v>2022</v>
      </c>
      <c r="L263" s="19" t="str">
        <f t="shared" si="9"/>
        <v>Regular Customer</v>
      </c>
    </row>
    <row r="264" spans="1:12" ht="15.75" customHeight="1" x14ac:dyDescent="0.3">
      <c r="A264" s="7">
        <v>45560</v>
      </c>
      <c r="B264" s="8" t="s">
        <v>1040</v>
      </c>
      <c r="C264" s="8" t="s">
        <v>8</v>
      </c>
      <c r="D264" s="8" t="s">
        <v>19</v>
      </c>
      <c r="E264" s="9">
        <v>13.83</v>
      </c>
      <c r="F264" s="8" t="s">
        <v>11</v>
      </c>
      <c r="G264" s="8">
        <v>13.83</v>
      </c>
      <c r="H264" s="10">
        <f t="shared" si="8"/>
        <v>9</v>
      </c>
      <c r="I264" s="10">
        <f>YEAR(Sheet1!$A264)</f>
        <v>2024</v>
      </c>
      <c r="J264" s="10">
        <f>DAY(Sheet1!$A264)</f>
        <v>25</v>
      </c>
      <c r="K264" s="12" t="s">
        <v>2022</v>
      </c>
      <c r="L264" s="13" t="str">
        <f t="shared" si="9"/>
        <v>Regular Customer</v>
      </c>
    </row>
    <row r="265" spans="1:12" ht="15.75" customHeight="1" x14ac:dyDescent="0.3">
      <c r="A265" s="14">
        <v>45544</v>
      </c>
      <c r="B265" s="15" t="s">
        <v>58</v>
      </c>
      <c r="C265" s="15" t="s">
        <v>13</v>
      </c>
      <c r="D265" s="15" t="s">
        <v>9</v>
      </c>
      <c r="E265" s="16">
        <v>6.92</v>
      </c>
      <c r="F265" s="15" t="s">
        <v>11</v>
      </c>
      <c r="G265" s="15">
        <v>13.84</v>
      </c>
      <c r="H265" s="17">
        <f t="shared" si="8"/>
        <v>9</v>
      </c>
      <c r="I265" s="17">
        <f>YEAR(Sheet1!$A265)</f>
        <v>2024</v>
      </c>
      <c r="J265" s="17">
        <f>DAY(Sheet1!$A265)</f>
        <v>9</v>
      </c>
      <c r="K265" s="18" t="s">
        <v>2023</v>
      </c>
      <c r="L265" s="19" t="str">
        <f t="shared" si="9"/>
        <v>Regular Customer</v>
      </c>
    </row>
    <row r="266" spans="1:12" ht="15.75" customHeight="1" x14ac:dyDescent="0.3">
      <c r="A266" s="7">
        <v>45725</v>
      </c>
      <c r="B266" s="8" t="s">
        <v>1934</v>
      </c>
      <c r="C266" s="8" t="s">
        <v>13</v>
      </c>
      <c r="D266" s="8" t="s">
        <v>9</v>
      </c>
      <c r="E266" s="9">
        <v>13.87</v>
      </c>
      <c r="F266" s="8" t="s">
        <v>11</v>
      </c>
      <c r="G266" s="8">
        <v>13.87</v>
      </c>
      <c r="H266" s="10">
        <f t="shared" si="8"/>
        <v>3</v>
      </c>
      <c r="I266" s="10">
        <f>YEAR(Sheet1!$A266)</f>
        <v>2025</v>
      </c>
      <c r="J266" s="10">
        <f>DAY(Sheet1!$A266)</f>
        <v>9</v>
      </c>
      <c r="K266" s="12" t="s">
        <v>2022</v>
      </c>
      <c r="L266" s="13" t="str">
        <f t="shared" si="9"/>
        <v>Regular Customer</v>
      </c>
    </row>
    <row r="267" spans="1:12" ht="15.75" customHeight="1" x14ac:dyDescent="0.3">
      <c r="A267" s="14">
        <v>45594</v>
      </c>
      <c r="B267" s="15" t="s">
        <v>2014</v>
      </c>
      <c r="C267" s="15" t="s">
        <v>24</v>
      </c>
      <c r="D267" s="15" t="s">
        <v>16</v>
      </c>
      <c r="E267" s="16">
        <v>6.94</v>
      </c>
      <c r="F267" s="15" t="s">
        <v>11</v>
      </c>
      <c r="G267" s="15">
        <v>13.88</v>
      </c>
      <c r="H267" s="17">
        <f t="shared" si="8"/>
        <v>10</v>
      </c>
      <c r="I267" s="17">
        <f>YEAR(Sheet1!$A267)</f>
        <v>2024</v>
      </c>
      <c r="J267" s="17">
        <f>DAY(Sheet1!$A267)</f>
        <v>29</v>
      </c>
      <c r="K267" s="18" t="s">
        <v>2022</v>
      </c>
      <c r="L267" s="19" t="str">
        <f t="shared" si="9"/>
        <v>Regular Customer</v>
      </c>
    </row>
    <row r="268" spans="1:12" ht="15.75" customHeight="1" x14ac:dyDescent="0.3">
      <c r="A268" s="7">
        <v>45454</v>
      </c>
      <c r="B268" s="8" t="s">
        <v>1659</v>
      </c>
      <c r="C268" s="8" t="s">
        <v>8</v>
      </c>
      <c r="D268" s="8" t="s">
        <v>16</v>
      </c>
      <c r="E268" s="9">
        <v>6.98</v>
      </c>
      <c r="F268" s="8" t="s">
        <v>10</v>
      </c>
      <c r="G268" s="8">
        <v>13.96</v>
      </c>
      <c r="H268" s="10">
        <f t="shared" si="8"/>
        <v>6</v>
      </c>
      <c r="I268" s="10">
        <f>YEAR(Sheet1!$A268)</f>
        <v>2024</v>
      </c>
      <c r="J268" s="10">
        <f>DAY(Sheet1!$A268)</f>
        <v>11</v>
      </c>
      <c r="K268" s="12" t="s">
        <v>2022</v>
      </c>
      <c r="L268" s="13" t="str">
        <f t="shared" si="9"/>
        <v>Regular Customer</v>
      </c>
    </row>
    <row r="269" spans="1:12" ht="15.75" customHeight="1" x14ac:dyDescent="0.3">
      <c r="A269" s="14">
        <v>45733</v>
      </c>
      <c r="B269" s="15" t="s">
        <v>244</v>
      </c>
      <c r="C269" s="15" t="s">
        <v>13</v>
      </c>
      <c r="D269" s="15" t="s">
        <v>9</v>
      </c>
      <c r="E269" s="16">
        <v>13.98</v>
      </c>
      <c r="F269" s="15" t="s">
        <v>11</v>
      </c>
      <c r="G269" s="15">
        <v>13.98</v>
      </c>
      <c r="H269" s="17">
        <f t="shared" si="8"/>
        <v>3</v>
      </c>
      <c r="I269" s="17">
        <f>YEAR(Sheet1!$A269)</f>
        <v>2025</v>
      </c>
      <c r="J269" s="17">
        <f>DAY(Sheet1!$A269)</f>
        <v>17</v>
      </c>
      <c r="K269" s="18" t="s">
        <v>2022</v>
      </c>
      <c r="L269" s="19" t="str">
        <f t="shared" si="9"/>
        <v>Regular Customer</v>
      </c>
    </row>
    <row r="270" spans="1:12" ht="15.75" customHeight="1" x14ac:dyDescent="0.3">
      <c r="A270" s="7">
        <v>45564</v>
      </c>
      <c r="B270" s="8" t="s">
        <v>878</v>
      </c>
      <c r="C270" s="8" t="s">
        <v>13</v>
      </c>
      <c r="D270" s="8" t="s">
        <v>19</v>
      </c>
      <c r="E270" s="9">
        <v>13.99</v>
      </c>
      <c r="F270" s="8" t="s">
        <v>10</v>
      </c>
      <c r="G270" s="8">
        <v>13.99</v>
      </c>
      <c r="H270" s="10">
        <f t="shared" si="8"/>
        <v>9</v>
      </c>
      <c r="I270" s="10">
        <f>YEAR(Sheet1!$A270)</f>
        <v>2024</v>
      </c>
      <c r="J270" s="10">
        <f>DAY(Sheet1!$A270)</f>
        <v>29</v>
      </c>
      <c r="K270" s="12" t="s">
        <v>2022</v>
      </c>
      <c r="L270" s="13" t="str">
        <f t="shared" si="9"/>
        <v>Regular Customer</v>
      </c>
    </row>
    <row r="271" spans="1:12" ht="15.75" customHeight="1" x14ac:dyDescent="0.3">
      <c r="A271" s="14">
        <v>45640</v>
      </c>
      <c r="B271" s="15" t="s">
        <v>294</v>
      </c>
      <c r="C271" s="15" t="s">
        <v>18</v>
      </c>
      <c r="D271" s="15" t="s">
        <v>9</v>
      </c>
      <c r="E271" s="16">
        <v>7.02</v>
      </c>
      <c r="F271" s="15" t="s">
        <v>11</v>
      </c>
      <c r="G271" s="15">
        <v>14.04</v>
      </c>
      <c r="H271" s="17">
        <f t="shared" si="8"/>
        <v>12</v>
      </c>
      <c r="I271" s="17">
        <f>YEAR(Sheet1!$A271)</f>
        <v>2024</v>
      </c>
      <c r="J271" s="17">
        <f>DAY(Sheet1!$A271)</f>
        <v>14</v>
      </c>
      <c r="K271" s="18" t="s">
        <v>2022</v>
      </c>
      <c r="L271" s="19" t="str">
        <f t="shared" si="9"/>
        <v>Regular Customer</v>
      </c>
    </row>
    <row r="272" spans="1:12" ht="15.75" customHeight="1" x14ac:dyDescent="0.3">
      <c r="A272" s="7">
        <v>45476</v>
      </c>
      <c r="B272" s="8" t="s">
        <v>2008</v>
      </c>
      <c r="C272" s="8" t="s">
        <v>24</v>
      </c>
      <c r="D272" s="8" t="s">
        <v>16</v>
      </c>
      <c r="E272" s="9">
        <v>7.03</v>
      </c>
      <c r="F272" s="8" t="s">
        <v>11</v>
      </c>
      <c r="G272" s="8">
        <v>14.06</v>
      </c>
      <c r="H272" s="10">
        <f t="shared" si="8"/>
        <v>7</v>
      </c>
      <c r="I272" s="10">
        <f>YEAR(Sheet1!$A272)</f>
        <v>2024</v>
      </c>
      <c r="J272" s="10">
        <f>DAY(Sheet1!$A272)</f>
        <v>3</v>
      </c>
      <c r="K272" s="12" t="s">
        <v>2022</v>
      </c>
      <c r="L272" s="13" t="str">
        <f t="shared" si="9"/>
        <v>Regular Customer</v>
      </c>
    </row>
    <row r="273" spans="1:12" ht="15.75" customHeight="1" x14ac:dyDescent="0.3">
      <c r="A273" s="14">
        <v>45589</v>
      </c>
      <c r="B273" s="15" t="s">
        <v>278</v>
      </c>
      <c r="C273" s="15" t="s">
        <v>8</v>
      </c>
      <c r="D273" s="15" t="s">
        <v>19</v>
      </c>
      <c r="E273" s="16">
        <v>14.06</v>
      </c>
      <c r="F273" s="15" t="s">
        <v>11</v>
      </c>
      <c r="G273" s="15">
        <v>14.06</v>
      </c>
      <c r="H273" s="17">
        <f t="shared" si="8"/>
        <v>10</v>
      </c>
      <c r="I273" s="17">
        <f>YEAR(Sheet1!$A273)</f>
        <v>2024</v>
      </c>
      <c r="J273" s="17">
        <f>DAY(Sheet1!$A273)</f>
        <v>24</v>
      </c>
      <c r="K273" s="18" t="s">
        <v>2022</v>
      </c>
      <c r="L273" s="19" t="str">
        <f t="shared" si="9"/>
        <v>Regular Customer</v>
      </c>
    </row>
    <row r="274" spans="1:12" ht="15.75" customHeight="1" x14ac:dyDescent="0.3">
      <c r="A274" s="7">
        <v>45470</v>
      </c>
      <c r="B274" s="8" t="s">
        <v>892</v>
      </c>
      <c r="C274" s="8" t="s">
        <v>18</v>
      </c>
      <c r="D274" s="8" t="s">
        <v>9</v>
      </c>
      <c r="E274" s="9">
        <v>14.09</v>
      </c>
      <c r="F274" s="8" t="s">
        <v>11</v>
      </c>
      <c r="G274" s="8">
        <v>14.09</v>
      </c>
      <c r="H274" s="10">
        <f t="shared" si="8"/>
        <v>6</v>
      </c>
      <c r="I274" s="10">
        <f>YEAR(Sheet1!$A274)</f>
        <v>2024</v>
      </c>
      <c r="J274" s="10">
        <f>DAY(Sheet1!$A274)</f>
        <v>27</v>
      </c>
      <c r="K274" s="12" t="s">
        <v>2023</v>
      </c>
      <c r="L274" s="13" t="str">
        <f t="shared" si="9"/>
        <v>Regular Customer</v>
      </c>
    </row>
    <row r="275" spans="1:12" ht="15.75" customHeight="1" x14ac:dyDescent="0.3">
      <c r="A275" s="14">
        <v>45765</v>
      </c>
      <c r="B275" s="15" t="s">
        <v>1017</v>
      </c>
      <c r="C275" s="15" t="s">
        <v>24</v>
      </c>
      <c r="D275" s="15" t="s">
        <v>9</v>
      </c>
      <c r="E275" s="16">
        <v>14.09</v>
      </c>
      <c r="F275" s="15" t="s">
        <v>10</v>
      </c>
      <c r="G275" s="15">
        <v>14.09</v>
      </c>
      <c r="H275" s="17">
        <f t="shared" si="8"/>
        <v>4</v>
      </c>
      <c r="I275" s="17">
        <f>YEAR(Sheet1!$A275)</f>
        <v>2025</v>
      </c>
      <c r="J275" s="17">
        <f>DAY(Sheet1!$A275)</f>
        <v>18</v>
      </c>
      <c r="K275" s="18" t="s">
        <v>2022</v>
      </c>
      <c r="L275" s="19" t="str">
        <f t="shared" si="9"/>
        <v>Regular Customer</v>
      </c>
    </row>
    <row r="276" spans="1:12" ht="15.75" customHeight="1" x14ac:dyDescent="0.3">
      <c r="A276" s="7">
        <v>45420</v>
      </c>
      <c r="B276" s="8" t="s">
        <v>1426</v>
      </c>
      <c r="C276" s="8" t="s">
        <v>18</v>
      </c>
      <c r="D276" s="8" t="s">
        <v>16</v>
      </c>
      <c r="E276" s="9">
        <v>14.11</v>
      </c>
      <c r="F276" s="8" t="s">
        <v>10</v>
      </c>
      <c r="G276" s="8">
        <v>14.11</v>
      </c>
      <c r="H276" s="10">
        <f t="shared" si="8"/>
        <v>5</v>
      </c>
      <c r="I276" s="10">
        <f>YEAR(Sheet1!$A276)</f>
        <v>2024</v>
      </c>
      <c r="J276" s="10">
        <f>DAY(Sheet1!$A276)</f>
        <v>8</v>
      </c>
      <c r="K276" s="12" t="s">
        <v>2022</v>
      </c>
      <c r="L276" s="13" t="str">
        <f t="shared" si="9"/>
        <v>Regular Customer</v>
      </c>
    </row>
    <row r="277" spans="1:12" ht="15.75" customHeight="1" x14ac:dyDescent="0.3">
      <c r="A277" s="14">
        <v>45678</v>
      </c>
      <c r="B277" s="15" t="s">
        <v>589</v>
      </c>
      <c r="C277" s="15" t="s">
        <v>13</v>
      </c>
      <c r="D277" s="15" t="s">
        <v>14</v>
      </c>
      <c r="E277" s="16">
        <v>7.06</v>
      </c>
      <c r="F277" s="15" t="s">
        <v>11</v>
      </c>
      <c r="G277" s="15">
        <v>14.12</v>
      </c>
      <c r="H277" s="17">
        <f t="shared" si="8"/>
        <v>1</v>
      </c>
      <c r="I277" s="17">
        <f>YEAR(Sheet1!$A277)</f>
        <v>2025</v>
      </c>
      <c r="J277" s="17">
        <f>DAY(Sheet1!$A277)</f>
        <v>21</v>
      </c>
      <c r="K277" s="18" t="s">
        <v>2022</v>
      </c>
      <c r="L277" s="19" t="str">
        <f t="shared" si="9"/>
        <v>Regular Customer</v>
      </c>
    </row>
    <row r="278" spans="1:12" ht="15.75" customHeight="1" x14ac:dyDescent="0.3">
      <c r="A278" s="7">
        <v>45607</v>
      </c>
      <c r="B278" s="8" t="s">
        <v>359</v>
      </c>
      <c r="C278" s="8" t="s">
        <v>24</v>
      </c>
      <c r="D278" s="8" t="s">
        <v>14</v>
      </c>
      <c r="E278" s="9">
        <v>14.17</v>
      </c>
      <c r="F278" s="8" t="s">
        <v>10</v>
      </c>
      <c r="G278" s="8">
        <v>14.17</v>
      </c>
      <c r="H278" s="10">
        <f t="shared" si="8"/>
        <v>11</v>
      </c>
      <c r="I278" s="10">
        <f>YEAR(Sheet1!$A278)</f>
        <v>2024</v>
      </c>
      <c r="J278" s="10">
        <f>DAY(Sheet1!$A278)</f>
        <v>11</v>
      </c>
      <c r="K278" s="12" t="s">
        <v>2023</v>
      </c>
      <c r="L278" s="13" t="str">
        <f t="shared" si="9"/>
        <v>Regular Customer</v>
      </c>
    </row>
    <row r="279" spans="1:12" ht="15.75" customHeight="1" x14ac:dyDescent="0.3">
      <c r="A279" s="14">
        <v>45561</v>
      </c>
      <c r="B279" s="15" t="s">
        <v>1933</v>
      </c>
      <c r="C279" s="15" t="s">
        <v>13</v>
      </c>
      <c r="D279" s="15" t="s">
        <v>19</v>
      </c>
      <c r="E279" s="16">
        <v>14.18</v>
      </c>
      <c r="F279" s="15" t="s">
        <v>10</v>
      </c>
      <c r="G279" s="15">
        <v>14.18</v>
      </c>
      <c r="H279" s="17">
        <f t="shared" si="8"/>
        <v>9</v>
      </c>
      <c r="I279" s="17">
        <f>YEAR(Sheet1!$A279)</f>
        <v>2024</v>
      </c>
      <c r="J279" s="17">
        <f>DAY(Sheet1!$A279)</f>
        <v>26</v>
      </c>
      <c r="K279" s="18" t="s">
        <v>2022</v>
      </c>
      <c r="L279" s="19" t="str">
        <f t="shared" si="9"/>
        <v>Regular Customer</v>
      </c>
    </row>
    <row r="280" spans="1:12" ht="15.75" customHeight="1" x14ac:dyDescent="0.3">
      <c r="A280" s="7">
        <v>45693</v>
      </c>
      <c r="B280" s="8" t="s">
        <v>1140</v>
      </c>
      <c r="C280" s="8" t="s">
        <v>18</v>
      </c>
      <c r="D280" s="8" t="s">
        <v>14</v>
      </c>
      <c r="E280" s="9">
        <v>14.23</v>
      </c>
      <c r="F280" s="8" t="s">
        <v>11</v>
      </c>
      <c r="G280" s="8">
        <v>14.23</v>
      </c>
      <c r="H280" s="10">
        <f t="shared" si="8"/>
        <v>2</v>
      </c>
      <c r="I280" s="10">
        <f>YEAR(Sheet1!$A280)</f>
        <v>2025</v>
      </c>
      <c r="J280" s="10">
        <f>DAY(Sheet1!$A280)</f>
        <v>5</v>
      </c>
      <c r="K280" s="12" t="s">
        <v>2022</v>
      </c>
      <c r="L280" s="13" t="str">
        <f t="shared" si="9"/>
        <v>Regular Customer</v>
      </c>
    </row>
    <row r="281" spans="1:12" ht="15.75" customHeight="1" x14ac:dyDescent="0.3">
      <c r="A281" s="14">
        <v>45661</v>
      </c>
      <c r="B281" s="15" t="s">
        <v>337</v>
      </c>
      <c r="C281" s="15" t="s">
        <v>8</v>
      </c>
      <c r="D281" s="15" t="s">
        <v>14</v>
      </c>
      <c r="E281" s="16">
        <v>14.25</v>
      </c>
      <c r="F281" s="15" t="s">
        <v>11</v>
      </c>
      <c r="G281" s="15">
        <v>14.25</v>
      </c>
      <c r="H281" s="17">
        <f t="shared" si="8"/>
        <v>1</v>
      </c>
      <c r="I281" s="17">
        <f>YEAR(Sheet1!$A281)</f>
        <v>2025</v>
      </c>
      <c r="J281" s="17">
        <f>DAY(Sheet1!$A281)</f>
        <v>4</v>
      </c>
      <c r="K281" s="18" t="s">
        <v>2023</v>
      </c>
      <c r="L281" s="19" t="str">
        <f t="shared" si="9"/>
        <v>Regular Customer</v>
      </c>
    </row>
    <row r="282" spans="1:12" ht="15.75" customHeight="1" x14ac:dyDescent="0.3">
      <c r="A282" s="7">
        <v>45582</v>
      </c>
      <c r="B282" s="8" t="s">
        <v>1776</v>
      </c>
      <c r="C282" s="8" t="s">
        <v>24</v>
      </c>
      <c r="D282" s="8" t="s">
        <v>14</v>
      </c>
      <c r="E282" s="9">
        <v>7.13</v>
      </c>
      <c r="F282" s="8" t="s">
        <v>11</v>
      </c>
      <c r="G282" s="8">
        <v>14.26</v>
      </c>
      <c r="H282" s="10">
        <f t="shared" si="8"/>
        <v>10</v>
      </c>
      <c r="I282" s="10">
        <f>YEAR(Sheet1!$A282)</f>
        <v>2024</v>
      </c>
      <c r="J282" s="10">
        <f>DAY(Sheet1!$A282)</f>
        <v>17</v>
      </c>
      <c r="K282" s="12" t="s">
        <v>2023</v>
      </c>
      <c r="L282" s="13" t="str">
        <f t="shared" si="9"/>
        <v>Regular Customer</v>
      </c>
    </row>
    <row r="283" spans="1:12" ht="15.75" customHeight="1" x14ac:dyDescent="0.3">
      <c r="A283" s="14">
        <v>45766</v>
      </c>
      <c r="B283" s="15" t="s">
        <v>711</v>
      </c>
      <c r="C283" s="15" t="s">
        <v>18</v>
      </c>
      <c r="D283" s="15" t="s">
        <v>14</v>
      </c>
      <c r="E283" s="16">
        <v>14.3</v>
      </c>
      <c r="F283" s="15" t="s">
        <v>11</v>
      </c>
      <c r="G283" s="15">
        <v>14.3</v>
      </c>
      <c r="H283" s="17">
        <f t="shared" si="8"/>
        <v>4</v>
      </c>
      <c r="I283" s="17">
        <f>YEAR(Sheet1!$A283)</f>
        <v>2025</v>
      </c>
      <c r="J283" s="17">
        <f>DAY(Sheet1!$A283)</f>
        <v>19</v>
      </c>
      <c r="K283" s="18" t="s">
        <v>2023</v>
      </c>
      <c r="L283" s="19" t="str">
        <f t="shared" si="9"/>
        <v>Regular Customer</v>
      </c>
    </row>
    <row r="284" spans="1:12" ht="15.75" customHeight="1" x14ac:dyDescent="0.3">
      <c r="A284" s="7">
        <v>45418</v>
      </c>
      <c r="B284" s="8" t="s">
        <v>1615</v>
      </c>
      <c r="C284" s="8" t="s">
        <v>13</v>
      </c>
      <c r="D284" s="8" t="s">
        <v>9</v>
      </c>
      <c r="E284" s="9">
        <v>14.31</v>
      </c>
      <c r="F284" s="8" t="s">
        <v>10</v>
      </c>
      <c r="G284" s="8">
        <v>14.31</v>
      </c>
      <c r="H284" s="10">
        <f t="shared" si="8"/>
        <v>5</v>
      </c>
      <c r="I284" s="10">
        <f>YEAR(Sheet1!$A284)</f>
        <v>2024</v>
      </c>
      <c r="J284" s="10">
        <f>DAY(Sheet1!$A284)</f>
        <v>6</v>
      </c>
      <c r="K284" s="12" t="s">
        <v>2023</v>
      </c>
      <c r="L284" s="13" t="str">
        <f t="shared" si="9"/>
        <v>Regular Customer</v>
      </c>
    </row>
    <row r="285" spans="1:12" ht="15.75" customHeight="1" x14ac:dyDescent="0.3">
      <c r="A285" s="14">
        <v>45742</v>
      </c>
      <c r="B285" s="15" t="s">
        <v>1455</v>
      </c>
      <c r="C285" s="15" t="s">
        <v>24</v>
      </c>
      <c r="D285" s="15" t="s">
        <v>14</v>
      </c>
      <c r="E285" s="16">
        <v>14.35</v>
      </c>
      <c r="F285" s="15" t="s">
        <v>10</v>
      </c>
      <c r="G285" s="15">
        <v>14.35</v>
      </c>
      <c r="H285" s="17">
        <f t="shared" si="8"/>
        <v>3</v>
      </c>
      <c r="I285" s="17">
        <f>YEAR(Sheet1!$A285)</f>
        <v>2025</v>
      </c>
      <c r="J285" s="17">
        <f>DAY(Sheet1!$A285)</f>
        <v>26</v>
      </c>
      <c r="K285" s="18" t="s">
        <v>2022</v>
      </c>
      <c r="L285" s="19" t="str">
        <f t="shared" si="9"/>
        <v>Regular Customer</v>
      </c>
    </row>
    <row r="286" spans="1:12" ht="15.75" customHeight="1" x14ac:dyDescent="0.3">
      <c r="A286" s="7">
        <v>45680</v>
      </c>
      <c r="B286" s="8" t="s">
        <v>1168</v>
      </c>
      <c r="C286" s="8" t="s">
        <v>8</v>
      </c>
      <c r="D286" s="8" t="s">
        <v>16</v>
      </c>
      <c r="E286" s="9">
        <v>7.18</v>
      </c>
      <c r="F286" s="8" t="s">
        <v>10</v>
      </c>
      <c r="G286" s="8">
        <v>14.36</v>
      </c>
      <c r="H286" s="10">
        <f t="shared" si="8"/>
        <v>1</v>
      </c>
      <c r="I286" s="10">
        <f>YEAR(Sheet1!$A286)</f>
        <v>2025</v>
      </c>
      <c r="J286" s="10">
        <f>DAY(Sheet1!$A286)</f>
        <v>23</v>
      </c>
      <c r="K286" s="12" t="s">
        <v>2023</v>
      </c>
      <c r="L286" s="13" t="str">
        <f t="shared" si="9"/>
        <v>Regular Customer</v>
      </c>
    </row>
    <row r="287" spans="1:12" ht="15.75" customHeight="1" x14ac:dyDescent="0.3">
      <c r="A287" s="14">
        <v>45659</v>
      </c>
      <c r="B287" s="15" t="s">
        <v>825</v>
      </c>
      <c r="C287" s="15" t="s">
        <v>24</v>
      </c>
      <c r="D287" s="15" t="s">
        <v>16</v>
      </c>
      <c r="E287" s="16">
        <v>14.38</v>
      </c>
      <c r="F287" s="15" t="s">
        <v>10</v>
      </c>
      <c r="G287" s="15">
        <v>14.38</v>
      </c>
      <c r="H287" s="17">
        <f t="shared" si="8"/>
        <v>1</v>
      </c>
      <c r="I287" s="17">
        <f>YEAR(Sheet1!$A287)</f>
        <v>2025</v>
      </c>
      <c r="J287" s="17">
        <f>DAY(Sheet1!$A287)</f>
        <v>2</v>
      </c>
      <c r="K287" s="18" t="s">
        <v>2022</v>
      </c>
      <c r="L287" s="19" t="str">
        <f t="shared" si="9"/>
        <v>Regular Customer</v>
      </c>
    </row>
    <row r="288" spans="1:12" ht="15.75" customHeight="1" x14ac:dyDescent="0.3">
      <c r="A288" s="7">
        <v>45621</v>
      </c>
      <c r="B288" s="8" t="s">
        <v>1873</v>
      </c>
      <c r="C288" s="8" t="s">
        <v>18</v>
      </c>
      <c r="D288" s="8" t="s">
        <v>14</v>
      </c>
      <c r="E288" s="9">
        <v>7.21</v>
      </c>
      <c r="F288" s="8" t="s">
        <v>11</v>
      </c>
      <c r="G288" s="8">
        <v>14.42</v>
      </c>
      <c r="H288" s="10">
        <f t="shared" si="8"/>
        <v>11</v>
      </c>
      <c r="I288" s="10">
        <f>YEAR(Sheet1!$A288)</f>
        <v>2024</v>
      </c>
      <c r="J288" s="10">
        <f>DAY(Sheet1!$A288)</f>
        <v>25</v>
      </c>
      <c r="K288" s="12" t="s">
        <v>2023</v>
      </c>
      <c r="L288" s="13" t="str">
        <f t="shared" si="9"/>
        <v>Regular Customer</v>
      </c>
    </row>
    <row r="289" spans="1:12" ht="15.75" customHeight="1" x14ac:dyDescent="0.3">
      <c r="A289" s="14">
        <v>45583</v>
      </c>
      <c r="B289" s="15" t="s">
        <v>651</v>
      </c>
      <c r="C289" s="15" t="s">
        <v>18</v>
      </c>
      <c r="D289" s="15" t="s">
        <v>9</v>
      </c>
      <c r="E289" s="16">
        <v>14.44</v>
      </c>
      <c r="F289" s="15" t="s">
        <v>11</v>
      </c>
      <c r="G289" s="15">
        <v>14.44</v>
      </c>
      <c r="H289" s="17">
        <f t="shared" si="8"/>
        <v>10</v>
      </c>
      <c r="I289" s="17">
        <f>YEAR(Sheet1!$A289)</f>
        <v>2024</v>
      </c>
      <c r="J289" s="17">
        <f>DAY(Sheet1!$A289)</f>
        <v>18</v>
      </c>
      <c r="K289" s="18" t="s">
        <v>2022</v>
      </c>
      <c r="L289" s="19" t="str">
        <f t="shared" si="9"/>
        <v>Regular Customer</v>
      </c>
    </row>
    <row r="290" spans="1:12" ht="15.75" customHeight="1" x14ac:dyDescent="0.3">
      <c r="A290" s="7">
        <v>45457</v>
      </c>
      <c r="B290" s="8" t="s">
        <v>648</v>
      </c>
      <c r="C290" s="8" t="s">
        <v>18</v>
      </c>
      <c r="D290" s="8" t="s">
        <v>19</v>
      </c>
      <c r="E290" s="9">
        <v>14.45</v>
      </c>
      <c r="F290" s="8" t="s">
        <v>11</v>
      </c>
      <c r="G290" s="8">
        <v>14.45</v>
      </c>
      <c r="H290" s="10">
        <f t="shared" si="8"/>
        <v>6</v>
      </c>
      <c r="I290" s="10">
        <f>YEAR(Sheet1!$A290)</f>
        <v>2024</v>
      </c>
      <c r="J290" s="10">
        <f>DAY(Sheet1!$A290)</f>
        <v>14</v>
      </c>
      <c r="K290" s="12" t="s">
        <v>2023</v>
      </c>
      <c r="L290" s="13" t="str">
        <f t="shared" si="9"/>
        <v>Regular Customer</v>
      </c>
    </row>
    <row r="291" spans="1:12" ht="15.75" customHeight="1" x14ac:dyDescent="0.3">
      <c r="A291" s="14">
        <v>45672</v>
      </c>
      <c r="B291" s="15" t="s">
        <v>1685</v>
      </c>
      <c r="C291" s="15" t="s">
        <v>18</v>
      </c>
      <c r="D291" s="15" t="s">
        <v>9</v>
      </c>
      <c r="E291" s="16">
        <v>14.45</v>
      </c>
      <c r="F291" s="15" t="s">
        <v>11</v>
      </c>
      <c r="G291" s="15">
        <v>14.45</v>
      </c>
      <c r="H291" s="17">
        <f t="shared" si="8"/>
        <v>1</v>
      </c>
      <c r="I291" s="17">
        <f>YEAR(Sheet1!$A291)</f>
        <v>2025</v>
      </c>
      <c r="J291" s="17">
        <f>DAY(Sheet1!$A291)</f>
        <v>15</v>
      </c>
      <c r="K291" s="18" t="s">
        <v>2023</v>
      </c>
      <c r="L291" s="19" t="str">
        <f t="shared" si="9"/>
        <v>Regular Customer</v>
      </c>
    </row>
    <row r="292" spans="1:12" ht="15.75" customHeight="1" x14ac:dyDescent="0.3">
      <c r="A292" s="7">
        <v>45458</v>
      </c>
      <c r="B292" s="8" t="s">
        <v>838</v>
      </c>
      <c r="C292" s="8" t="s">
        <v>8</v>
      </c>
      <c r="D292" s="8" t="s">
        <v>16</v>
      </c>
      <c r="E292" s="9">
        <v>7.23</v>
      </c>
      <c r="F292" s="8" t="s">
        <v>10</v>
      </c>
      <c r="G292" s="8">
        <v>14.46</v>
      </c>
      <c r="H292" s="10">
        <f t="shared" si="8"/>
        <v>6</v>
      </c>
      <c r="I292" s="10">
        <f>YEAR(Sheet1!$A292)</f>
        <v>2024</v>
      </c>
      <c r="J292" s="10">
        <f>DAY(Sheet1!$A292)</f>
        <v>15</v>
      </c>
      <c r="K292" s="12" t="s">
        <v>2023</v>
      </c>
      <c r="L292" s="13" t="str">
        <f t="shared" si="9"/>
        <v>Regular Customer</v>
      </c>
    </row>
    <row r="293" spans="1:12" ht="15.75" customHeight="1" x14ac:dyDescent="0.3">
      <c r="A293" s="14">
        <v>45584</v>
      </c>
      <c r="B293" s="15" t="s">
        <v>1647</v>
      </c>
      <c r="C293" s="15" t="s">
        <v>8</v>
      </c>
      <c r="D293" s="15" t="s">
        <v>9</v>
      </c>
      <c r="E293" s="16">
        <v>14.48</v>
      </c>
      <c r="F293" s="15" t="s">
        <v>11</v>
      </c>
      <c r="G293" s="15">
        <v>14.48</v>
      </c>
      <c r="H293" s="17">
        <f t="shared" si="8"/>
        <v>10</v>
      </c>
      <c r="I293" s="17">
        <f>YEAR(Sheet1!$A293)</f>
        <v>2024</v>
      </c>
      <c r="J293" s="17">
        <f>DAY(Sheet1!$A293)</f>
        <v>19</v>
      </c>
      <c r="K293" s="18" t="s">
        <v>2022</v>
      </c>
      <c r="L293" s="19" t="str">
        <f t="shared" si="9"/>
        <v>Regular Customer</v>
      </c>
    </row>
    <row r="294" spans="1:12" ht="15.75" customHeight="1" x14ac:dyDescent="0.3">
      <c r="A294" s="7">
        <v>45607</v>
      </c>
      <c r="B294" s="8" t="s">
        <v>1174</v>
      </c>
      <c r="C294" s="8" t="s">
        <v>13</v>
      </c>
      <c r="D294" s="8" t="s">
        <v>9</v>
      </c>
      <c r="E294" s="9">
        <v>7.24</v>
      </c>
      <c r="F294" s="8" t="s">
        <v>11</v>
      </c>
      <c r="G294" s="8">
        <v>14.48</v>
      </c>
      <c r="H294" s="10">
        <f t="shared" si="8"/>
        <v>11</v>
      </c>
      <c r="I294" s="10">
        <f>YEAR(Sheet1!$A294)</f>
        <v>2024</v>
      </c>
      <c r="J294" s="10">
        <f>DAY(Sheet1!$A294)</f>
        <v>11</v>
      </c>
      <c r="K294" s="12" t="s">
        <v>2022</v>
      </c>
      <c r="L294" s="13" t="str">
        <f t="shared" si="9"/>
        <v>Regular Customer</v>
      </c>
    </row>
    <row r="295" spans="1:12" ht="15.75" customHeight="1" x14ac:dyDescent="0.3">
      <c r="A295" s="14">
        <v>45568</v>
      </c>
      <c r="B295" s="15" t="s">
        <v>2009</v>
      </c>
      <c r="C295" s="15" t="s">
        <v>18</v>
      </c>
      <c r="D295" s="15" t="s">
        <v>16</v>
      </c>
      <c r="E295" s="16">
        <v>14.51</v>
      </c>
      <c r="F295" s="15" t="s">
        <v>10</v>
      </c>
      <c r="G295" s="15">
        <v>14.51</v>
      </c>
      <c r="H295" s="17">
        <f t="shared" si="8"/>
        <v>10</v>
      </c>
      <c r="I295" s="17">
        <f>YEAR(Sheet1!$A295)</f>
        <v>2024</v>
      </c>
      <c r="J295" s="17">
        <f>DAY(Sheet1!$A295)</f>
        <v>3</v>
      </c>
      <c r="K295" s="18" t="s">
        <v>2023</v>
      </c>
      <c r="L295" s="19" t="str">
        <f t="shared" si="9"/>
        <v>Regular Customer</v>
      </c>
    </row>
    <row r="296" spans="1:12" ht="15.75" customHeight="1" x14ac:dyDescent="0.3">
      <c r="A296" s="7">
        <v>45711</v>
      </c>
      <c r="B296" s="8" t="s">
        <v>1163</v>
      </c>
      <c r="C296" s="8" t="s">
        <v>13</v>
      </c>
      <c r="D296" s="8" t="s">
        <v>9</v>
      </c>
      <c r="E296" s="9">
        <v>14.52</v>
      </c>
      <c r="F296" s="8" t="s">
        <v>11</v>
      </c>
      <c r="G296" s="8">
        <v>14.52</v>
      </c>
      <c r="H296" s="10">
        <f t="shared" si="8"/>
        <v>2</v>
      </c>
      <c r="I296" s="10">
        <f>YEAR(Sheet1!$A296)</f>
        <v>2025</v>
      </c>
      <c r="J296" s="10">
        <f>DAY(Sheet1!$A296)</f>
        <v>23</v>
      </c>
      <c r="K296" s="12" t="s">
        <v>2022</v>
      </c>
      <c r="L296" s="13" t="str">
        <f t="shared" si="9"/>
        <v>Regular Customer</v>
      </c>
    </row>
    <row r="297" spans="1:12" ht="15.75" customHeight="1" x14ac:dyDescent="0.3">
      <c r="A297" s="14">
        <v>45527</v>
      </c>
      <c r="B297" s="15" t="s">
        <v>46</v>
      </c>
      <c r="C297" s="15" t="s">
        <v>18</v>
      </c>
      <c r="D297" s="15" t="s">
        <v>14</v>
      </c>
      <c r="E297" s="16">
        <v>14.54</v>
      </c>
      <c r="F297" s="15" t="s">
        <v>10</v>
      </c>
      <c r="G297" s="15">
        <v>14.54</v>
      </c>
      <c r="H297" s="17">
        <f t="shared" si="8"/>
        <v>8</v>
      </c>
      <c r="I297" s="17">
        <f>YEAR(Sheet1!$A297)</f>
        <v>2024</v>
      </c>
      <c r="J297" s="17">
        <f>DAY(Sheet1!$A297)</f>
        <v>23</v>
      </c>
      <c r="K297" s="18" t="s">
        <v>2023</v>
      </c>
      <c r="L297" s="19" t="str">
        <f t="shared" si="9"/>
        <v>Regular Customer</v>
      </c>
    </row>
    <row r="298" spans="1:12" ht="15.75" customHeight="1" x14ac:dyDescent="0.3">
      <c r="A298" s="7">
        <v>45671</v>
      </c>
      <c r="B298" s="8" t="s">
        <v>1484</v>
      </c>
      <c r="C298" s="8" t="s">
        <v>24</v>
      </c>
      <c r="D298" s="8" t="s">
        <v>19</v>
      </c>
      <c r="E298" s="9">
        <v>14.58</v>
      </c>
      <c r="F298" s="8" t="s">
        <v>11</v>
      </c>
      <c r="G298" s="8">
        <v>14.58</v>
      </c>
      <c r="H298" s="10">
        <f t="shared" si="8"/>
        <v>1</v>
      </c>
      <c r="I298" s="10">
        <f>YEAR(Sheet1!$A298)</f>
        <v>2025</v>
      </c>
      <c r="J298" s="10">
        <f>DAY(Sheet1!$A298)</f>
        <v>14</v>
      </c>
      <c r="K298" s="12" t="s">
        <v>2023</v>
      </c>
      <c r="L298" s="13" t="str">
        <f t="shared" si="9"/>
        <v>Regular Customer</v>
      </c>
    </row>
    <row r="299" spans="1:12" ht="15.75" customHeight="1" x14ac:dyDescent="0.3">
      <c r="A299" s="14">
        <v>45432</v>
      </c>
      <c r="B299" s="15" t="s">
        <v>1135</v>
      </c>
      <c r="C299" s="15" t="s">
        <v>18</v>
      </c>
      <c r="D299" s="15" t="s">
        <v>9</v>
      </c>
      <c r="E299" s="16">
        <v>14.59</v>
      </c>
      <c r="F299" s="15" t="s">
        <v>10</v>
      </c>
      <c r="G299" s="15">
        <v>14.59</v>
      </c>
      <c r="H299" s="17">
        <f t="shared" si="8"/>
        <v>5</v>
      </c>
      <c r="I299" s="17">
        <f>YEAR(Sheet1!$A299)</f>
        <v>2024</v>
      </c>
      <c r="J299" s="17">
        <f>DAY(Sheet1!$A299)</f>
        <v>20</v>
      </c>
      <c r="K299" s="18" t="s">
        <v>2022</v>
      </c>
      <c r="L299" s="19" t="str">
        <f t="shared" si="9"/>
        <v>Regular Customer</v>
      </c>
    </row>
    <row r="300" spans="1:12" ht="15.75" customHeight="1" x14ac:dyDescent="0.3">
      <c r="A300" s="7">
        <v>45449</v>
      </c>
      <c r="B300" s="8" t="s">
        <v>1671</v>
      </c>
      <c r="C300" s="8" t="s">
        <v>13</v>
      </c>
      <c r="D300" s="8" t="s">
        <v>9</v>
      </c>
      <c r="E300" s="9">
        <v>14.59</v>
      </c>
      <c r="F300" s="8" t="s">
        <v>10</v>
      </c>
      <c r="G300" s="8">
        <v>14.59</v>
      </c>
      <c r="H300" s="10">
        <f t="shared" si="8"/>
        <v>6</v>
      </c>
      <c r="I300" s="10">
        <f>YEAR(Sheet1!$A300)</f>
        <v>2024</v>
      </c>
      <c r="J300" s="10">
        <f>DAY(Sheet1!$A300)</f>
        <v>6</v>
      </c>
      <c r="K300" s="12" t="s">
        <v>2023</v>
      </c>
      <c r="L300" s="13" t="str">
        <f t="shared" si="9"/>
        <v>Regular Customer</v>
      </c>
    </row>
    <row r="301" spans="1:12" ht="15.75" customHeight="1" x14ac:dyDescent="0.3">
      <c r="A301" s="14">
        <v>45679</v>
      </c>
      <c r="B301" s="15" t="s">
        <v>133</v>
      </c>
      <c r="C301" s="15" t="s">
        <v>24</v>
      </c>
      <c r="D301" s="15" t="s">
        <v>9</v>
      </c>
      <c r="E301" s="16">
        <v>7.33</v>
      </c>
      <c r="F301" s="15" t="s">
        <v>10</v>
      </c>
      <c r="G301" s="15">
        <v>14.66</v>
      </c>
      <c r="H301" s="17">
        <f t="shared" si="8"/>
        <v>1</v>
      </c>
      <c r="I301" s="17">
        <f>YEAR(Sheet1!$A301)</f>
        <v>2025</v>
      </c>
      <c r="J301" s="17">
        <f>DAY(Sheet1!$A301)</f>
        <v>22</v>
      </c>
      <c r="K301" s="18" t="s">
        <v>2023</v>
      </c>
      <c r="L301" s="19" t="str">
        <f t="shared" si="9"/>
        <v>Regular Customer</v>
      </c>
    </row>
    <row r="302" spans="1:12" ht="15.75" customHeight="1" x14ac:dyDescent="0.3">
      <c r="A302" s="7">
        <v>45651</v>
      </c>
      <c r="B302" s="8" t="s">
        <v>845</v>
      </c>
      <c r="C302" s="8" t="s">
        <v>13</v>
      </c>
      <c r="D302" s="8" t="s">
        <v>19</v>
      </c>
      <c r="E302" s="9">
        <v>14.69</v>
      </c>
      <c r="F302" s="8" t="s">
        <v>10</v>
      </c>
      <c r="G302" s="8">
        <v>14.69</v>
      </c>
      <c r="H302" s="10">
        <f t="shared" si="8"/>
        <v>12</v>
      </c>
      <c r="I302" s="10">
        <f>YEAR(Sheet1!$A302)</f>
        <v>2024</v>
      </c>
      <c r="J302" s="10">
        <f>DAY(Sheet1!$A302)</f>
        <v>25</v>
      </c>
      <c r="K302" s="12" t="s">
        <v>2022</v>
      </c>
      <c r="L302" s="13" t="str">
        <f t="shared" si="9"/>
        <v>Regular Customer</v>
      </c>
    </row>
    <row r="303" spans="1:12" ht="15.75" customHeight="1" x14ac:dyDescent="0.3">
      <c r="A303" s="14">
        <v>45424</v>
      </c>
      <c r="B303" s="15" t="s">
        <v>781</v>
      </c>
      <c r="C303" s="15" t="s">
        <v>8</v>
      </c>
      <c r="D303" s="15" t="s">
        <v>9</v>
      </c>
      <c r="E303" s="16">
        <v>14.71</v>
      </c>
      <c r="F303" s="15" t="s">
        <v>10</v>
      </c>
      <c r="G303" s="15">
        <v>14.71</v>
      </c>
      <c r="H303" s="17">
        <f t="shared" si="8"/>
        <v>5</v>
      </c>
      <c r="I303" s="17">
        <f>YEAR(Sheet1!$A303)</f>
        <v>2024</v>
      </c>
      <c r="J303" s="17">
        <f>DAY(Sheet1!$A303)</f>
        <v>12</v>
      </c>
      <c r="K303" s="18" t="s">
        <v>2023</v>
      </c>
      <c r="L303" s="19" t="str">
        <f t="shared" si="9"/>
        <v>Regular Customer</v>
      </c>
    </row>
    <row r="304" spans="1:12" ht="15.75" customHeight="1" x14ac:dyDescent="0.3">
      <c r="A304" s="7">
        <v>45497</v>
      </c>
      <c r="B304" s="8" t="s">
        <v>1164</v>
      </c>
      <c r="C304" s="8" t="s">
        <v>18</v>
      </c>
      <c r="D304" s="8" t="s">
        <v>14</v>
      </c>
      <c r="E304" s="9">
        <v>14.72</v>
      </c>
      <c r="F304" s="8" t="s">
        <v>11</v>
      </c>
      <c r="G304" s="8">
        <v>14.72</v>
      </c>
      <c r="H304" s="10">
        <f t="shared" si="8"/>
        <v>7</v>
      </c>
      <c r="I304" s="10">
        <f>YEAR(Sheet1!$A304)</f>
        <v>2024</v>
      </c>
      <c r="J304" s="10">
        <f>DAY(Sheet1!$A304)</f>
        <v>24</v>
      </c>
      <c r="K304" s="12" t="s">
        <v>2023</v>
      </c>
      <c r="L304" s="13" t="str">
        <f t="shared" si="9"/>
        <v>Regular Customer</v>
      </c>
    </row>
    <row r="305" spans="1:12" ht="15.75" customHeight="1" x14ac:dyDescent="0.3">
      <c r="A305" s="14">
        <v>45717</v>
      </c>
      <c r="B305" s="15" t="s">
        <v>1409</v>
      </c>
      <c r="C305" s="15" t="s">
        <v>13</v>
      </c>
      <c r="D305" s="15" t="s">
        <v>16</v>
      </c>
      <c r="E305" s="16">
        <v>7.36</v>
      </c>
      <c r="F305" s="15" t="s">
        <v>11</v>
      </c>
      <c r="G305" s="15">
        <v>14.72</v>
      </c>
      <c r="H305" s="17">
        <f t="shared" si="8"/>
        <v>3</v>
      </c>
      <c r="I305" s="17">
        <f>YEAR(Sheet1!$A305)</f>
        <v>2025</v>
      </c>
      <c r="J305" s="17">
        <f>DAY(Sheet1!$A305)</f>
        <v>1</v>
      </c>
      <c r="K305" s="18" t="s">
        <v>2023</v>
      </c>
      <c r="L305" s="19" t="str">
        <f t="shared" si="9"/>
        <v>Regular Customer</v>
      </c>
    </row>
    <row r="306" spans="1:12" ht="15.75" customHeight="1" x14ac:dyDescent="0.3">
      <c r="A306" s="7">
        <v>45771</v>
      </c>
      <c r="B306" s="8" t="s">
        <v>1602</v>
      </c>
      <c r="C306" s="8" t="s">
        <v>18</v>
      </c>
      <c r="D306" s="8" t="s">
        <v>9</v>
      </c>
      <c r="E306" s="9">
        <v>14.73</v>
      </c>
      <c r="F306" s="8" t="s">
        <v>11</v>
      </c>
      <c r="G306" s="8">
        <v>14.73</v>
      </c>
      <c r="H306" s="10">
        <f t="shared" si="8"/>
        <v>4</v>
      </c>
      <c r="I306" s="10">
        <f>YEAR(Sheet1!$A306)</f>
        <v>2025</v>
      </c>
      <c r="J306" s="10">
        <f>DAY(Sheet1!$A306)</f>
        <v>24</v>
      </c>
      <c r="K306" s="12" t="s">
        <v>2023</v>
      </c>
      <c r="L306" s="13" t="str">
        <f t="shared" si="9"/>
        <v>Regular Customer</v>
      </c>
    </row>
    <row r="307" spans="1:12" ht="15.75" customHeight="1" x14ac:dyDescent="0.3">
      <c r="A307" s="14">
        <v>45584</v>
      </c>
      <c r="B307" s="15" t="s">
        <v>343</v>
      </c>
      <c r="C307" s="15" t="s">
        <v>13</v>
      </c>
      <c r="D307" s="15" t="s">
        <v>14</v>
      </c>
      <c r="E307" s="16">
        <v>7.37</v>
      </c>
      <c r="F307" s="15" t="s">
        <v>10</v>
      </c>
      <c r="G307" s="15">
        <v>14.74</v>
      </c>
      <c r="H307" s="17">
        <f t="shared" si="8"/>
        <v>10</v>
      </c>
      <c r="I307" s="17">
        <f>YEAR(Sheet1!$A307)</f>
        <v>2024</v>
      </c>
      <c r="J307" s="17">
        <f>DAY(Sheet1!$A307)</f>
        <v>19</v>
      </c>
      <c r="K307" s="18" t="s">
        <v>2023</v>
      </c>
      <c r="L307" s="19" t="str">
        <f t="shared" si="9"/>
        <v>Regular Customer</v>
      </c>
    </row>
    <row r="308" spans="1:12" ht="15.75" customHeight="1" x14ac:dyDescent="0.3">
      <c r="A308" s="7">
        <v>45474</v>
      </c>
      <c r="B308" s="8" t="s">
        <v>1314</v>
      </c>
      <c r="C308" s="8" t="s">
        <v>18</v>
      </c>
      <c r="D308" s="8" t="s">
        <v>19</v>
      </c>
      <c r="E308" s="9">
        <v>14.77</v>
      </c>
      <c r="F308" s="8" t="s">
        <v>11</v>
      </c>
      <c r="G308" s="8">
        <v>14.77</v>
      </c>
      <c r="H308" s="10">
        <f t="shared" si="8"/>
        <v>7</v>
      </c>
      <c r="I308" s="10">
        <f>YEAR(Sheet1!$A308)</f>
        <v>2024</v>
      </c>
      <c r="J308" s="10">
        <f>DAY(Sheet1!$A308)</f>
        <v>1</v>
      </c>
      <c r="K308" s="12" t="s">
        <v>2023</v>
      </c>
      <c r="L308" s="13" t="str">
        <f t="shared" si="9"/>
        <v>Regular Customer</v>
      </c>
    </row>
    <row r="309" spans="1:12" ht="15.75" customHeight="1" x14ac:dyDescent="0.3">
      <c r="A309" s="14">
        <v>45583</v>
      </c>
      <c r="B309" s="15" t="s">
        <v>1830</v>
      </c>
      <c r="C309" s="15" t="s">
        <v>24</v>
      </c>
      <c r="D309" s="15" t="s">
        <v>16</v>
      </c>
      <c r="E309" s="16">
        <v>7.39</v>
      </c>
      <c r="F309" s="15" t="s">
        <v>10</v>
      </c>
      <c r="G309" s="15">
        <v>14.78</v>
      </c>
      <c r="H309" s="17">
        <f t="shared" si="8"/>
        <v>10</v>
      </c>
      <c r="I309" s="17">
        <f>YEAR(Sheet1!$A309)</f>
        <v>2024</v>
      </c>
      <c r="J309" s="17">
        <f>DAY(Sheet1!$A309)</f>
        <v>18</v>
      </c>
      <c r="K309" s="18" t="s">
        <v>2023</v>
      </c>
      <c r="L309" s="19" t="str">
        <f t="shared" si="9"/>
        <v>Regular Customer</v>
      </c>
    </row>
    <row r="310" spans="1:12" ht="15.75" customHeight="1" x14ac:dyDescent="0.3">
      <c r="A310" s="7">
        <v>45618</v>
      </c>
      <c r="B310" s="8" t="s">
        <v>1569</v>
      </c>
      <c r="C310" s="8" t="s">
        <v>18</v>
      </c>
      <c r="D310" s="8" t="s">
        <v>9</v>
      </c>
      <c r="E310" s="9">
        <v>7.39</v>
      </c>
      <c r="F310" s="8" t="s">
        <v>10</v>
      </c>
      <c r="G310" s="8">
        <v>14.78</v>
      </c>
      <c r="H310" s="10">
        <f t="shared" si="8"/>
        <v>11</v>
      </c>
      <c r="I310" s="10">
        <f>YEAR(Sheet1!$A310)</f>
        <v>2024</v>
      </c>
      <c r="J310" s="10">
        <f>DAY(Sheet1!$A310)</f>
        <v>22</v>
      </c>
      <c r="K310" s="12" t="s">
        <v>2023</v>
      </c>
      <c r="L310" s="13" t="str">
        <f t="shared" si="9"/>
        <v>Regular Customer</v>
      </c>
    </row>
    <row r="311" spans="1:12" ht="15.75" customHeight="1" x14ac:dyDescent="0.3">
      <c r="A311" s="14">
        <v>45638</v>
      </c>
      <c r="B311" s="15" t="s">
        <v>1384</v>
      </c>
      <c r="C311" s="15" t="s">
        <v>13</v>
      </c>
      <c r="D311" s="15" t="s">
        <v>16</v>
      </c>
      <c r="E311" s="16">
        <v>14.78</v>
      </c>
      <c r="F311" s="15" t="s">
        <v>10</v>
      </c>
      <c r="G311" s="15">
        <v>14.78</v>
      </c>
      <c r="H311" s="17">
        <f t="shared" si="8"/>
        <v>12</v>
      </c>
      <c r="I311" s="17">
        <f>YEAR(Sheet1!$A311)</f>
        <v>2024</v>
      </c>
      <c r="J311" s="17">
        <f>DAY(Sheet1!$A311)</f>
        <v>12</v>
      </c>
      <c r="K311" s="18" t="s">
        <v>2022</v>
      </c>
      <c r="L311" s="19" t="str">
        <f t="shared" si="9"/>
        <v>Regular Customer</v>
      </c>
    </row>
    <row r="312" spans="1:12" ht="15.75" customHeight="1" x14ac:dyDescent="0.3">
      <c r="A312" s="7">
        <v>45593</v>
      </c>
      <c r="B312" s="8" t="s">
        <v>1268</v>
      </c>
      <c r="C312" s="8" t="s">
        <v>8</v>
      </c>
      <c r="D312" s="8" t="s">
        <v>9</v>
      </c>
      <c r="E312" s="9">
        <v>14.83</v>
      </c>
      <c r="F312" s="8" t="s">
        <v>10</v>
      </c>
      <c r="G312" s="8">
        <v>14.83</v>
      </c>
      <c r="H312" s="10">
        <f t="shared" si="8"/>
        <v>10</v>
      </c>
      <c r="I312" s="10">
        <f>YEAR(Sheet1!$A312)</f>
        <v>2024</v>
      </c>
      <c r="J312" s="10">
        <f>DAY(Sheet1!$A312)</f>
        <v>28</v>
      </c>
      <c r="K312" s="12" t="s">
        <v>2023</v>
      </c>
      <c r="L312" s="13" t="str">
        <f t="shared" si="9"/>
        <v>Regular Customer</v>
      </c>
    </row>
    <row r="313" spans="1:12" ht="15.75" customHeight="1" x14ac:dyDescent="0.3">
      <c r="A313" s="14">
        <v>45742</v>
      </c>
      <c r="B313" s="15" t="s">
        <v>466</v>
      </c>
      <c r="C313" s="15" t="s">
        <v>18</v>
      </c>
      <c r="D313" s="15" t="s">
        <v>19</v>
      </c>
      <c r="E313" s="16">
        <v>14.84</v>
      </c>
      <c r="F313" s="15" t="s">
        <v>11</v>
      </c>
      <c r="G313" s="15">
        <v>14.84</v>
      </c>
      <c r="H313" s="17">
        <f t="shared" si="8"/>
        <v>3</v>
      </c>
      <c r="I313" s="17">
        <f>YEAR(Sheet1!$A313)</f>
        <v>2025</v>
      </c>
      <c r="J313" s="17">
        <f>DAY(Sheet1!$A313)</f>
        <v>26</v>
      </c>
      <c r="K313" s="18" t="s">
        <v>2022</v>
      </c>
      <c r="L313" s="19" t="str">
        <f t="shared" si="9"/>
        <v>Regular Customer</v>
      </c>
    </row>
    <row r="314" spans="1:12" ht="15.75" customHeight="1" x14ac:dyDescent="0.3">
      <c r="A314" s="7">
        <v>45483</v>
      </c>
      <c r="B314" s="8" t="s">
        <v>1657</v>
      </c>
      <c r="C314" s="8" t="s">
        <v>13</v>
      </c>
      <c r="D314" s="8" t="s">
        <v>19</v>
      </c>
      <c r="E314" s="9">
        <v>14.86</v>
      </c>
      <c r="F314" s="8" t="s">
        <v>11</v>
      </c>
      <c r="G314" s="8">
        <v>14.86</v>
      </c>
      <c r="H314" s="10">
        <f t="shared" si="8"/>
        <v>7</v>
      </c>
      <c r="I314" s="10">
        <f>YEAR(Sheet1!$A314)</f>
        <v>2024</v>
      </c>
      <c r="J314" s="10">
        <f>DAY(Sheet1!$A314)</f>
        <v>10</v>
      </c>
      <c r="K314" s="12" t="s">
        <v>2022</v>
      </c>
      <c r="L314" s="13" t="str">
        <f t="shared" si="9"/>
        <v>Regular Customer</v>
      </c>
    </row>
    <row r="315" spans="1:12" ht="15.75" customHeight="1" x14ac:dyDescent="0.3">
      <c r="A315" s="14">
        <v>45540</v>
      </c>
      <c r="B315" s="15" t="s">
        <v>1436</v>
      </c>
      <c r="C315" s="15" t="s">
        <v>24</v>
      </c>
      <c r="D315" s="15" t="s">
        <v>16</v>
      </c>
      <c r="E315" s="16">
        <v>7.43</v>
      </c>
      <c r="F315" s="15" t="s">
        <v>10</v>
      </c>
      <c r="G315" s="15">
        <v>14.86</v>
      </c>
      <c r="H315" s="17">
        <f t="shared" si="8"/>
        <v>9</v>
      </c>
      <c r="I315" s="17">
        <f>YEAR(Sheet1!$A315)</f>
        <v>2024</v>
      </c>
      <c r="J315" s="17">
        <f>DAY(Sheet1!$A315)</f>
        <v>5</v>
      </c>
      <c r="K315" s="18" t="s">
        <v>2022</v>
      </c>
      <c r="L315" s="19" t="str">
        <f t="shared" si="9"/>
        <v>Regular Customer</v>
      </c>
    </row>
    <row r="316" spans="1:12" ht="15.75" customHeight="1" x14ac:dyDescent="0.3">
      <c r="A316" s="7">
        <v>45546</v>
      </c>
      <c r="B316" s="8" t="s">
        <v>423</v>
      </c>
      <c r="C316" s="8" t="s">
        <v>8</v>
      </c>
      <c r="D316" s="8" t="s">
        <v>19</v>
      </c>
      <c r="E316" s="9">
        <v>7.43</v>
      </c>
      <c r="F316" s="8" t="s">
        <v>10</v>
      </c>
      <c r="G316" s="8">
        <v>14.86</v>
      </c>
      <c r="H316" s="10">
        <f t="shared" si="8"/>
        <v>9</v>
      </c>
      <c r="I316" s="10">
        <f>YEAR(Sheet1!$A316)</f>
        <v>2024</v>
      </c>
      <c r="J316" s="10">
        <f>DAY(Sheet1!$A316)</f>
        <v>11</v>
      </c>
      <c r="K316" s="12" t="s">
        <v>2023</v>
      </c>
      <c r="L316" s="13" t="str">
        <f t="shared" si="9"/>
        <v>Regular Customer</v>
      </c>
    </row>
    <row r="317" spans="1:12" ht="15.75" customHeight="1" x14ac:dyDescent="0.3">
      <c r="A317" s="14">
        <v>45445</v>
      </c>
      <c r="B317" s="15" t="s">
        <v>1238</v>
      </c>
      <c r="C317" s="15" t="s">
        <v>8</v>
      </c>
      <c r="D317" s="15" t="s">
        <v>19</v>
      </c>
      <c r="E317" s="16">
        <v>14.89</v>
      </c>
      <c r="F317" s="15" t="s">
        <v>10</v>
      </c>
      <c r="G317" s="15">
        <v>14.89</v>
      </c>
      <c r="H317" s="17">
        <f t="shared" si="8"/>
        <v>6</v>
      </c>
      <c r="I317" s="17">
        <f>YEAR(Sheet1!$A317)</f>
        <v>2024</v>
      </c>
      <c r="J317" s="17">
        <f>DAY(Sheet1!$A317)</f>
        <v>2</v>
      </c>
      <c r="K317" s="18" t="s">
        <v>2022</v>
      </c>
      <c r="L317" s="19" t="str">
        <f t="shared" si="9"/>
        <v>Regular Customer</v>
      </c>
    </row>
    <row r="318" spans="1:12" ht="15.75" customHeight="1" x14ac:dyDescent="0.3">
      <c r="A318" s="7">
        <v>45609</v>
      </c>
      <c r="B318" s="8" t="s">
        <v>82</v>
      </c>
      <c r="C318" s="8" t="s">
        <v>8</v>
      </c>
      <c r="D318" s="8" t="s">
        <v>14</v>
      </c>
      <c r="E318" s="9">
        <v>7.45</v>
      </c>
      <c r="F318" s="8" t="s">
        <v>10</v>
      </c>
      <c r="G318" s="8">
        <v>14.9</v>
      </c>
      <c r="H318" s="10">
        <f t="shared" si="8"/>
        <v>11</v>
      </c>
      <c r="I318" s="10">
        <f>YEAR(Sheet1!$A318)</f>
        <v>2024</v>
      </c>
      <c r="J318" s="10">
        <f>DAY(Sheet1!$A318)</f>
        <v>13</v>
      </c>
      <c r="K318" s="12" t="s">
        <v>2022</v>
      </c>
      <c r="L318" s="13" t="str">
        <f t="shared" si="9"/>
        <v>Regular Customer</v>
      </c>
    </row>
    <row r="319" spans="1:12" ht="15.75" customHeight="1" x14ac:dyDescent="0.3">
      <c r="A319" s="14">
        <v>45679</v>
      </c>
      <c r="B319" s="15" t="s">
        <v>760</v>
      </c>
      <c r="C319" s="15" t="s">
        <v>8</v>
      </c>
      <c r="D319" s="15" t="s">
        <v>19</v>
      </c>
      <c r="E319" s="16">
        <v>7.45</v>
      </c>
      <c r="F319" s="15" t="s">
        <v>10</v>
      </c>
      <c r="G319" s="15">
        <v>14.9</v>
      </c>
      <c r="H319" s="17">
        <f t="shared" si="8"/>
        <v>1</v>
      </c>
      <c r="I319" s="17">
        <f>YEAR(Sheet1!$A319)</f>
        <v>2025</v>
      </c>
      <c r="J319" s="17">
        <f>DAY(Sheet1!$A319)</f>
        <v>22</v>
      </c>
      <c r="K319" s="18" t="s">
        <v>2022</v>
      </c>
      <c r="L319" s="19" t="str">
        <f t="shared" si="9"/>
        <v>Regular Customer</v>
      </c>
    </row>
    <row r="320" spans="1:12" ht="15.75" customHeight="1" x14ac:dyDescent="0.3">
      <c r="A320" s="7">
        <v>45597</v>
      </c>
      <c r="B320" s="8" t="s">
        <v>1951</v>
      </c>
      <c r="C320" s="8" t="s">
        <v>13</v>
      </c>
      <c r="D320" s="8" t="s">
        <v>19</v>
      </c>
      <c r="E320" s="9">
        <v>14.92</v>
      </c>
      <c r="F320" s="8" t="s">
        <v>11</v>
      </c>
      <c r="G320" s="8">
        <v>14.92</v>
      </c>
      <c r="H320" s="10">
        <f t="shared" si="8"/>
        <v>11</v>
      </c>
      <c r="I320" s="10">
        <f>YEAR(Sheet1!$A320)</f>
        <v>2024</v>
      </c>
      <c r="J320" s="10">
        <f>DAY(Sheet1!$A320)</f>
        <v>1</v>
      </c>
      <c r="K320" s="12" t="s">
        <v>2022</v>
      </c>
      <c r="L320" s="13" t="str">
        <f t="shared" si="9"/>
        <v>Regular Customer</v>
      </c>
    </row>
    <row r="321" spans="1:12" ht="15.75" customHeight="1" x14ac:dyDescent="0.3">
      <c r="A321" s="14">
        <v>45643</v>
      </c>
      <c r="B321" s="15" t="s">
        <v>1005</v>
      </c>
      <c r="C321" s="15" t="s">
        <v>18</v>
      </c>
      <c r="D321" s="15" t="s">
        <v>19</v>
      </c>
      <c r="E321" s="16">
        <v>14.92</v>
      </c>
      <c r="F321" s="15" t="s">
        <v>11</v>
      </c>
      <c r="G321" s="15">
        <v>14.92</v>
      </c>
      <c r="H321" s="17">
        <f t="shared" si="8"/>
        <v>12</v>
      </c>
      <c r="I321" s="17">
        <f>YEAR(Sheet1!$A321)</f>
        <v>2024</v>
      </c>
      <c r="J321" s="17">
        <f>DAY(Sheet1!$A321)</f>
        <v>17</v>
      </c>
      <c r="K321" s="18" t="s">
        <v>2023</v>
      </c>
      <c r="L321" s="19" t="str">
        <f t="shared" si="9"/>
        <v>Regular Customer</v>
      </c>
    </row>
    <row r="322" spans="1:12" ht="15.75" customHeight="1" x14ac:dyDescent="0.3">
      <c r="A322" s="7">
        <v>45608</v>
      </c>
      <c r="B322" s="8" t="s">
        <v>15</v>
      </c>
      <c r="C322" s="8" t="s">
        <v>8</v>
      </c>
      <c r="D322" s="8" t="s">
        <v>16</v>
      </c>
      <c r="E322" s="9">
        <v>14.93</v>
      </c>
      <c r="F322" s="8" t="s">
        <v>10</v>
      </c>
      <c r="G322" s="8">
        <v>14.93</v>
      </c>
      <c r="H322" s="10">
        <f t="shared" ref="H322:H385" si="10">MONTH(A322)</f>
        <v>11</v>
      </c>
      <c r="I322" s="10">
        <f>YEAR(Sheet1!$A322)</f>
        <v>2024</v>
      </c>
      <c r="J322" s="10">
        <f>DAY(Sheet1!$A322)</f>
        <v>12</v>
      </c>
      <c r="K322" s="12" t="s">
        <v>2022</v>
      </c>
      <c r="L322" s="13" t="str">
        <f t="shared" ref="L322:L385" si="11">IF(G322&gt;50,"Premium Customer","Regular Customer")</f>
        <v>Regular Customer</v>
      </c>
    </row>
    <row r="323" spans="1:12" ht="15.75" customHeight="1" x14ac:dyDescent="0.3">
      <c r="A323" s="14">
        <v>45496</v>
      </c>
      <c r="B323" s="15" t="s">
        <v>1267</v>
      </c>
      <c r="C323" s="15" t="s">
        <v>24</v>
      </c>
      <c r="D323" s="15" t="s">
        <v>16</v>
      </c>
      <c r="E323" s="16">
        <v>5.01</v>
      </c>
      <c r="F323" s="15" t="s">
        <v>11</v>
      </c>
      <c r="G323" s="15">
        <v>15.03</v>
      </c>
      <c r="H323" s="17">
        <f t="shared" si="10"/>
        <v>7</v>
      </c>
      <c r="I323" s="17">
        <f>YEAR(Sheet1!$A323)</f>
        <v>2024</v>
      </c>
      <c r="J323" s="17">
        <f>DAY(Sheet1!$A323)</f>
        <v>23</v>
      </c>
      <c r="K323" s="18" t="s">
        <v>2023</v>
      </c>
      <c r="L323" s="19" t="str">
        <f t="shared" si="11"/>
        <v>Regular Customer</v>
      </c>
    </row>
    <row r="324" spans="1:12" ht="15.75" customHeight="1" x14ac:dyDescent="0.3">
      <c r="A324" s="7">
        <v>45661</v>
      </c>
      <c r="B324" s="8" t="s">
        <v>933</v>
      </c>
      <c r="C324" s="8" t="s">
        <v>8</v>
      </c>
      <c r="D324" s="8" t="s">
        <v>9</v>
      </c>
      <c r="E324" s="9">
        <v>5.01</v>
      </c>
      <c r="F324" s="8" t="s">
        <v>10</v>
      </c>
      <c r="G324" s="8">
        <v>15.03</v>
      </c>
      <c r="H324" s="10">
        <f t="shared" si="10"/>
        <v>1</v>
      </c>
      <c r="I324" s="10">
        <f>YEAR(Sheet1!$A324)</f>
        <v>2025</v>
      </c>
      <c r="J324" s="10">
        <f>DAY(Sheet1!$A324)</f>
        <v>4</v>
      </c>
      <c r="K324" s="12" t="s">
        <v>2023</v>
      </c>
      <c r="L324" s="13" t="str">
        <f t="shared" si="11"/>
        <v>Regular Customer</v>
      </c>
    </row>
    <row r="325" spans="1:12" ht="15.75" customHeight="1" x14ac:dyDescent="0.3">
      <c r="A325" s="14">
        <v>45645</v>
      </c>
      <c r="B325" s="15" t="s">
        <v>1074</v>
      </c>
      <c r="C325" s="15" t="s">
        <v>18</v>
      </c>
      <c r="D325" s="15" t="s">
        <v>14</v>
      </c>
      <c r="E325" s="16">
        <v>7.52</v>
      </c>
      <c r="F325" s="15" t="s">
        <v>10</v>
      </c>
      <c r="G325" s="15">
        <v>15.04</v>
      </c>
      <c r="H325" s="17">
        <f t="shared" si="10"/>
        <v>12</v>
      </c>
      <c r="I325" s="17">
        <f>YEAR(Sheet1!$A325)</f>
        <v>2024</v>
      </c>
      <c r="J325" s="17">
        <f>DAY(Sheet1!$A325)</f>
        <v>19</v>
      </c>
      <c r="K325" s="18" t="s">
        <v>2023</v>
      </c>
      <c r="L325" s="19" t="str">
        <f t="shared" si="11"/>
        <v>Regular Customer</v>
      </c>
    </row>
    <row r="326" spans="1:12" ht="15.75" customHeight="1" x14ac:dyDescent="0.3">
      <c r="A326" s="7">
        <v>45563</v>
      </c>
      <c r="B326" s="8" t="s">
        <v>1818</v>
      </c>
      <c r="C326" s="8" t="s">
        <v>24</v>
      </c>
      <c r="D326" s="8" t="s">
        <v>19</v>
      </c>
      <c r="E326" s="9">
        <v>15.07</v>
      </c>
      <c r="F326" s="8" t="s">
        <v>10</v>
      </c>
      <c r="G326" s="8">
        <v>15.07</v>
      </c>
      <c r="H326" s="10">
        <f t="shared" si="10"/>
        <v>9</v>
      </c>
      <c r="I326" s="10">
        <f>YEAR(Sheet1!$A326)</f>
        <v>2024</v>
      </c>
      <c r="J326" s="10">
        <f>DAY(Sheet1!$A326)</f>
        <v>28</v>
      </c>
      <c r="K326" s="12" t="s">
        <v>2022</v>
      </c>
      <c r="L326" s="13" t="str">
        <f t="shared" si="11"/>
        <v>Regular Customer</v>
      </c>
    </row>
    <row r="327" spans="1:12" ht="15.75" customHeight="1" x14ac:dyDescent="0.3">
      <c r="A327" s="14">
        <v>45696</v>
      </c>
      <c r="B327" s="15" t="s">
        <v>1635</v>
      </c>
      <c r="C327" s="15" t="s">
        <v>13</v>
      </c>
      <c r="D327" s="15" t="s">
        <v>14</v>
      </c>
      <c r="E327" s="16">
        <v>15.07</v>
      </c>
      <c r="F327" s="15" t="s">
        <v>11</v>
      </c>
      <c r="G327" s="15">
        <v>15.07</v>
      </c>
      <c r="H327" s="17">
        <f t="shared" si="10"/>
        <v>2</v>
      </c>
      <c r="I327" s="17">
        <f>YEAR(Sheet1!$A327)</f>
        <v>2025</v>
      </c>
      <c r="J327" s="17">
        <f>DAY(Sheet1!$A327)</f>
        <v>8</v>
      </c>
      <c r="K327" s="18" t="s">
        <v>2022</v>
      </c>
      <c r="L327" s="19" t="str">
        <f t="shared" si="11"/>
        <v>Regular Customer</v>
      </c>
    </row>
    <row r="328" spans="1:12" ht="15.75" customHeight="1" x14ac:dyDescent="0.3">
      <c r="A328" s="7">
        <v>45777</v>
      </c>
      <c r="B328" s="8" t="s">
        <v>870</v>
      </c>
      <c r="C328" s="8" t="s">
        <v>24</v>
      </c>
      <c r="D328" s="8" t="s">
        <v>9</v>
      </c>
      <c r="E328" s="9">
        <v>15.11</v>
      </c>
      <c r="F328" s="8" t="s">
        <v>10</v>
      </c>
      <c r="G328" s="8">
        <v>15.11</v>
      </c>
      <c r="H328" s="10">
        <f t="shared" si="10"/>
        <v>4</v>
      </c>
      <c r="I328" s="10">
        <f>YEAR(Sheet1!$A328)</f>
        <v>2025</v>
      </c>
      <c r="J328" s="10">
        <f>DAY(Sheet1!$A328)</f>
        <v>30</v>
      </c>
      <c r="K328" s="12" t="s">
        <v>2022</v>
      </c>
      <c r="L328" s="13" t="str">
        <f t="shared" si="11"/>
        <v>Regular Customer</v>
      </c>
    </row>
    <row r="329" spans="1:12" ht="15.75" customHeight="1" x14ac:dyDescent="0.3">
      <c r="A329" s="14">
        <v>45521</v>
      </c>
      <c r="B329" s="15" t="s">
        <v>560</v>
      </c>
      <c r="C329" s="15" t="s">
        <v>8</v>
      </c>
      <c r="D329" s="15" t="s">
        <v>16</v>
      </c>
      <c r="E329" s="16">
        <v>7.56</v>
      </c>
      <c r="F329" s="15" t="s">
        <v>10</v>
      </c>
      <c r="G329" s="15">
        <v>15.12</v>
      </c>
      <c r="H329" s="17">
        <f t="shared" si="10"/>
        <v>8</v>
      </c>
      <c r="I329" s="17">
        <f>YEAR(Sheet1!$A329)</f>
        <v>2024</v>
      </c>
      <c r="J329" s="17">
        <f>DAY(Sheet1!$A329)</f>
        <v>17</v>
      </c>
      <c r="K329" s="18" t="s">
        <v>2023</v>
      </c>
      <c r="L329" s="19" t="str">
        <f t="shared" si="11"/>
        <v>Regular Customer</v>
      </c>
    </row>
    <row r="330" spans="1:12" ht="15.75" customHeight="1" x14ac:dyDescent="0.3">
      <c r="A330" s="7">
        <v>45765</v>
      </c>
      <c r="B330" s="8" t="s">
        <v>822</v>
      </c>
      <c r="C330" s="8" t="s">
        <v>24</v>
      </c>
      <c r="D330" s="8" t="s">
        <v>19</v>
      </c>
      <c r="E330" s="9">
        <v>15.14</v>
      </c>
      <c r="F330" s="8" t="s">
        <v>10</v>
      </c>
      <c r="G330" s="8">
        <v>15.14</v>
      </c>
      <c r="H330" s="10">
        <f t="shared" si="10"/>
        <v>4</v>
      </c>
      <c r="I330" s="10">
        <f>YEAR(Sheet1!$A330)</f>
        <v>2025</v>
      </c>
      <c r="J330" s="10">
        <f>DAY(Sheet1!$A330)</f>
        <v>18</v>
      </c>
      <c r="K330" s="12" t="s">
        <v>2022</v>
      </c>
      <c r="L330" s="13" t="str">
        <f t="shared" si="11"/>
        <v>Regular Customer</v>
      </c>
    </row>
    <row r="331" spans="1:12" ht="15.75" customHeight="1" x14ac:dyDescent="0.3">
      <c r="A331" s="14">
        <v>45430</v>
      </c>
      <c r="B331" s="15" t="s">
        <v>318</v>
      </c>
      <c r="C331" s="15" t="s">
        <v>18</v>
      </c>
      <c r="D331" s="15" t="s">
        <v>9</v>
      </c>
      <c r="E331" s="16">
        <v>15.28</v>
      </c>
      <c r="F331" s="15" t="s">
        <v>11</v>
      </c>
      <c r="G331" s="15">
        <v>15.28</v>
      </c>
      <c r="H331" s="17">
        <f t="shared" si="10"/>
        <v>5</v>
      </c>
      <c r="I331" s="17">
        <f>YEAR(Sheet1!$A331)</f>
        <v>2024</v>
      </c>
      <c r="J331" s="17">
        <f>DAY(Sheet1!$A331)</f>
        <v>18</v>
      </c>
      <c r="K331" s="18" t="s">
        <v>2022</v>
      </c>
      <c r="L331" s="19" t="str">
        <f t="shared" si="11"/>
        <v>Regular Customer</v>
      </c>
    </row>
    <row r="332" spans="1:12" ht="15.75" customHeight="1" x14ac:dyDescent="0.3">
      <c r="A332" s="7">
        <v>45578</v>
      </c>
      <c r="B332" s="8" t="s">
        <v>1688</v>
      </c>
      <c r="C332" s="8" t="s">
        <v>24</v>
      </c>
      <c r="D332" s="8" t="s">
        <v>16</v>
      </c>
      <c r="E332" s="9">
        <v>5.0999999999999996</v>
      </c>
      <c r="F332" s="8" t="s">
        <v>10</v>
      </c>
      <c r="G332" s="8">
        <v>15.3</v>
      </c>
      <c r="H332" s="10">
        <f t="shared" si="10"/>
        <v>10</v>
      </c>
      <c r="I332" s="10">
        <f>YEAR(Sheet1!$A332)</f>
        <v>2024</v>
      </c>
      <c r="J332" s="10">
        <f>DAY(Sheet1!$A332)</f>
        <v>13</v>
      </c>
      <c r="K332" s="12" t="s">
        <v>2022</v>
      </c>
      <c r="L332" s="13" t="str">
        <f t="shared" si="11"/>
        <v>Regular Customer</v>
      </c>
    </row>
    <row r="333" spans="1:12" ht="15.75" customHeight="1" x14ac:dyDescent="0.3">
      <c r="A333" s="14">
        <v>45767</v>
      </c>
      <c r="B333" s="15" t="s">
        <v>182</v>
      </c>
      <c r="C333" s="15" t="s">
        <v>8</v>
      </c>
      <c r="D333" s="15" t="s">
        <v>16</v>
      </c>
      <c r="E333" s="16">
        <v>15.3</v>
      </c>
      <c r="F333" s="15" t="s">
        <v>11</v>
      </c>
      <c r="G333" s="15">
        <v>15.3</v>
      </c>
      <c r="H333" s="17">
        <f t="shared" si="10"/>
        <v>4</v>
      </c>
      <c r="I333" s="17">
        <f>YEAR(Sheet1!$A333)</f>
        <v>2025</v>
      </c>
      <c r="J333" s="17">
        <f>DAY(Sheet1!$A333)</f>
        <v>20</v>
      </c>
      <c r="K333" s="18" t="s">
        <v>2022</v>
      </c>
      <c r="L333" s="19" t="str">
        <f t="shared" si="11"/>
        <v>Regular Customer</v>
      </c>
    </row>
    <row r="334" spans="1:12" ht="15.75" customHeight="1" x14ac:dyDescent="0.3">
      <c r="A334" s="7">
        <v>45612</v>
      </c>
      <c r="B334" s="8" t="s">
        <v>1732</v>
      </c>
      <c r="C334" s="8" t="s">
        <v>13</v>
      </c>
      <c r="D334" s="8" t="s">
        <v>16</v>
      </c>
      <c r="E334" s="9">
        <v>15.32</v>
      </c>
      <c r="F334" s="8" t="s">
        <v>10</v>
      </c>
      <c r="G334" s="8">
        <v>15.32</v>
      </c>
      <c r="H334" s="10">
        <f t="shared" si="10"/>
        <v>11</v>
      </c>
      <c r="I334" s="10">
        <f>YEAR(Sheet1!$A334)</f>
        <v>2024</v>
      </c>
      <c r="J334" s="10">
        <f>DAY(Sheet1!$A334)</f>
        <v>16</v>
      </c>
      <c r="K334" s="12" t="s">
        <v>2022</v>
      </c>
      <c r="L334" s="13" t="str">
        <f t="shared" si="11"/>
        <v>Regular Customer</v>
      </c>
    </row>
    <row r="335" spans="1:12" ht="15.75" customHeight="1" x14ac:dyDescent="0.3">
      <c r="A335" s="14">
        <v>45766</v>
      </c>
      <c r="B335" s="15" t="s">
        <v>1452</v>
      </c>
      <c r="C335" s="15" t="s">
        <v>24</v>
      </c>
      <c r="D335" s="15" t="s">
        <v>14</v>
      </c>
      <c r="E335" s="16">
        <v>7.67</v>
      </c>
      <c r="F335" s="15" t="s">
        <v>11</v>
      </c>
      <c r="G335" s="15">
        <v>15.34</v>
      </c>
      <c r="H335" s="17">
        <f t="shared" si="10"/>
        <v>4</v>
      </c>
      <c r="I335" s="17">
        <f>YEAR(Sheet1!$A335)</f>
        <v>2025</v>
      </c>
      <c r="J335" s="17">
        <f>DAY(Sheet1!$A335)</f>
        <v>19</v>
      </c>
      <c r="K335" s="18" t="s">
        <v>2023</v>
      </c>
      <c r="L335" s="19" t="str">
        <f t="shared" si="11"/>
        <v>Regular Customer</v>
      </c>
    </row>
    <row r="336" spans="1:12" ht="15.75" customHeight="1" x14ac:dyDescent="0.3">
      <c r="A336" s="7">
        <v>45485</v>
      </c>
      <c r="B336" s="8" t="s">
        <v>511</v>
      </c>
      <c r="C336" s="8" t="s">
        <v>8</v>
      </c>
      <c r="D336" s="8" t="s">
        <v>14</v>
      </c>
      <c r="E336" s="9">
        <v>7.68</v>
      </c>
      <c r="F336" s="8" t="s">
        <v>11</v>
      </c>
      <c r="G336" s="8">
        <v>15.36</v>
      </c>
      <c r="H336" s="10">
        <f t="shared" si="10"/>
        <v>7</v>
      </c>
      <c r="I336" s="10">
        <f>YEAR(Sheet1!$A336)</f>
        <v>2024</v>
      </c>
      <c r="J336" s="10">
        <f>DAY(Sheet1!$A336)</f>
        <v>12</v>
      </c>
      <c r="K336" s="12" t="s">
        <v>2023</v>
      </c>
      <c r="L336" s="13" t="str">
        <f t="shared" si="11"/>
        <v>Regular Customer</v>
      </c>
    </row>
    <row r="337" spans="1:12" ht="15.75" customHeight="1" x14ac:dyDescent="0.3">
      <c r="A337" s="14">
        <v>45447</v>
      </c>
      <c r="B337" s="15" t="s">
        <v>1976</v>
      </c>
      <c r="C337" s="15" t="s">
        <v>24</v>
      </c>
      <c r="D337" s="15" t="s">
        <v>14</v>
      </c>
      <c r="E337" s="16">
        <v>7.7</v>
      </c>
      <c r="F337" s="15" t="s">
        <v>10</v>
      </c>
      <c r="G337" s="15">
        <v>15.4</v>
      </c>
      <c r="H337" s="17">
        <f t="shared" si="10"/>
        <v>6</v>
      </c>
      <c r="I337" s="17">
        <f>YEAR(Sheet1!$A337)</f>
        <v>2024</v>
      </c>
      <c r="J337" s="17">
        <f>DAY(Sheet1!$A337)</f>
        <v>4</v>
      </c>
      <c r="K337" s="18" t="s">
        <v>2023</v>
      </c>
      <c r="L337" s="19" t="str">
        <f t="shared" si="11"/>
        <v>Regular Customer</v>
      </c>
    </row>
    <row r="338" spans="1:12" ht="15.75" customHeight="1" x14ac:dyDescent="0.3">
      <c r="A338" s="7">
        <v>45456</v>
      </c>
      <c r="B338" s="8" t="s">
        <v>339</v>
      </c>
      <c r="C338" s="8" t="s">
        <v>18</v>
      </c>
      <c r="D338" s="8" t="s">
        <v>9</v>
      </c>
      <c r="E338" s="9">
        <v>15.43</v>
      </c>
      <c r="F338" s="8" t="s">
        <v>11</v>
      </c>
      <c r="G338" s="8">
        <v>15.43</v>
      </c>
      <c r="H338" s="10">
        <f t="shared" si="10"/>
        <v>6</v>
      </c>
      <c r="I338" s="10">
        <f>YEAR(Sheet1!$A338)</f>
        <v>2024</v>
      </c>
      <c r="J338" s="10">
        <f>DAY(Sheet1!$A338)</f>
        <v>13</v>
      </c>
      <c r="K338" s="12" t="s">
        <v>2023</v>
      </c>
      <c r="L338" s="13" t="str">
        <f t="shared" si="11"/>
        <v>Regular Customer</v>
      </c>
    </row>
    <row r="339" spans="1:12" ht="15.75" customHeight="1" x14ac:dyDescent="0.3">
      <c r="A339" s="14">
        <v>45565</v>
      </c>
      <c r="B339" s="15" t="s">
        <v>1745</v>
      </c>
      <c r="C339" s="15" t="s">
        <v>13</v>
      </c>
      <c r="D339" s="15" t="s">
        <v>14</v>
      </c>
      <c r="E339" s="16">
        <v>15.43</v>
      </c>
      <c r="F339" s="15" t="s">
        <v>10</v>
      </c>
      <c r="G339" s="15">
        <v>15.43</v>
      </c>
      <c r="H339" s="17">
        <f t="shared" si="10"/>
        <v>9</v>
      </c>
      <c r="I339" s="17">
        <f>YEAR(Sheet1!$A339)</f>
        <v>2024</v>
      </c>
      <c r="J339" s="17">
        <f>DAY(Sheet1!$A339)</f>
        <v>30</v>
      </c>
      <c r="K339" s="18" t="s">
        <v>2022</v>
      </c>
      <c r="L339" s="19" t="str">
        <f t="shared" si="11"/>
        <v>Regular Customer</v>
      </c>
    </row>
    <row r="340" spans="1:12" ht="15.75" customHeight="1" x14ac:dyDescent="0.3">
      <c r="A340" s="7">
        <v>45566</v>
      </c>
      <c r="B340" s="8" t="s">
        <v>1374</v>
      </c>
      <c r="C340" s="8" t="s">
        <v>18</v>
      </c>
      <c r="D340" s="8" t="s">
        <v>16</v>
      </c>
      <c r="E340" s="9">
        <v>15.46</v>
      </c>
      <c r="F340" s="8" t="s">
        <v>10</v>
      </c>
      <c r="G340" s="8">
        <v>15.46</v>
      </c>
      <c r="H340" s="10">
        <f t="shared" si="10"/>
        <v>10</v>
      </c>
      <c r="I340" s="10">
        <f>YEAR(Sheet1!$A340)</f>
        <v>2024</v>
      </c>
      <c r="J340" s="10">
        <f>DAY(Sheet1!$A340)</f>
        <v>1</v>
      </c>
      <c r="K340" s="12" t="s">
        <v>2023</v>
      </c>
      <c r="L340" s="13" t="str">
        <f t="shared" si="11"/>
        <v>Regular Customer</v>
      </c>
    </row>
    <row r="341" spans="1:12" ht="15.75" customHeight="1" x14ac:dyDescent="0.3">
      <c r="A341" s="14">
        <v>45661</v>
      </c>
      <c r="B341" s="15" t="s">
        <v>1027</v>
      </c>
      <c r="C341" s="15" t="s">
        <v>8</v>
      </c>
      <c r="D341" s="15" t="s">
        <v>19</v>
      </c>
      <c r="E341" s="16">
        <v>5.17</v>
      </c>
      <c r="F341" s="15" t="s">
        <v>11</v>
      </c>
      <c r="G341" s="15">
        <v>15.51</v>
      </c>
      <c r="H341" s="17">
        <f t="shared" si="10"/>
        <v>1</v>
      </c>
      <c r="I341" s="17">
        <f>YEAR(Sheet1!$A341)</f>
        <v>2025</v>
      </c>
      <c r="J341" s="17">
        <f>DAY(Sheet1!$A341)</f>
        <v>4</v>
      </c>
      <c r="K341" s="18" t="s">
        <v>2023</v>
      </c>
      <c r="L341" s="19" t="str">
        <f t="shared" si="11"/>
        <v>Regular Customer</v>
      </c>
    </row>
    <row r="342" spans="1:12" ht="15.75" customHeight="1" x14ac:dyDescent="0.3">
      <c r="A342" s="7">
        <v>45477</v>
      </c>
      <c r="B342" s="8" t="s">
        <v>1117</v>
      </c>
      <c r="C342" s="8" t="s">
        <v>8</v>
      </c>
      <c r="D342" s="8" t="s">
        <v>19</v>
      </c>
      <c r="E342" s="9">
        <v>15.54</v>
      </c>
      <c r="F342" s="8" t="s">
        <v>11</v>
      </c>
      <c r="G342" s="8">
        <v>15.54</v>
      </c>
      <c r="H342" s="10">
        <f t="shared" si="10"/>
        <v>7</v>
      </c>
      <c r="I342" s="10">
        <f>YEAR(Sheet1!$A342)</f>
        <v>2024</v>
      </c>
      <c r="J342" s="10">
        <f>DAY(Sheet1!$A342)</f>
        <v>4</v>
      </c>
      <c r="K342" s="12" t="s">
        <v>2023</v>
      </c>
      <c r="L342" s="13" t="str">
        <f t="shared" si="11"/>
        <v>Regular Customer</v>
      </c>
    </row>
    <row r="343" spans="1:12" ht="15.75" customHeight="1" x14ac:dyDescent="0.3">
      <c r="A343" s="14">
        <v>45649</v>
      </c>
      <c r="B343" s="15" t="s">
        <v>51</v>
      </c>
      <c r="C343" s="15" t="s">
        <v>24</v>
      </c>
      <c r="D343" s="15" t="s">
        <v>14</v>
      </c>
      <c r="E343" s="16">
        <v>7.79</v>
      </c>
      <c r="F343" s="15" t="s">
        <v>10</v>
      </c>
      <c r="G343" s="15">
        <v>15.58</v>
      </c>
      <c r="H343" s="17">
        <f t="shared" si="10"/>
        <v>12</v>
      </c>
      <c r="I343" s="17">
        <f>YEAR(Sheet1!$A343)</f>
        <v>2024</v>
      </c>
      <c r="J343" s="17">
        <f>DAY(Sheet1!$A343)</f>
        <v>23</v>
      </c>
      <c r="K343" s="18" t="s">
        <v>2022</v>
      </c>
      <c r="L343" s="19" t="str">
        <f t="shared" si="11"/>
        <v>Regular Customer</v>
      </c>
    </row>
    <row r="344" spans="1:12" ht="15.75" customHeight="1" x14ac:dyDescent="0.3">
      <c r="A344" s="7">
        <v>45627</v>
      </c>
      <c r="B344" s="8" t="s">
        <v>927</v>
      </c>
      <c r="C344" s="8" t="s">
        <v>13</v>
      </c>
      <c r="D344" s="8" t="s">
        <v>14</v>
      </c>
      <c r="E344" s="9">
        <v>15.59</v>
      </c>
      <c r="F344" s="8" t="s">
        <v>11</v>
      </c>
      <c r="G344" s="8">
        <v>15.59</v>
      </c>
      <c r="H344" s="10">
        <f t="shared" si="10"/>
        <v>12</v>
      </c>
      <c r="I344" s="10">
        <f>YEAR(Sheet1!$A344)</f>
        <v>2024</v>
      </c>
      <c r="J344" s="10">
        <f>DAY(Sheet1!$A344)</f>
        <v>1</v>
      </c>
      <c r="K344" s="12" t="s">
        <v>2022</v>
      </c>
      <c r="L344" s="13" t="str">
        <f t="shared" si="11"/>
        <v>Regular Customer</v>
      </c>
    </row>
    <row r="345" spans="1:12" ht="15.75" customHeight="1" x14ac:dyDescent="0.3">
      <c r="A345" s="14">
        <v>45474</v>
      </c>
      <c r="B345" s="15" t="s">
        <v>1139</v>
      </c>
      <c r="C345" s="15" t="s">
        <v>13</v>
      </c>
      <c r="D345" s="15" t="s">
        <v>19</v>
      </c>
      <c r="E345" s="16">
        <v>5.2</v>
      </c>
      <c r="F345" s="15" t="s">
        <v>10</v>
      </c>
      <c r="G345" s="15">
        <v>15.6</v>
      </c>
      <c r="H345" s="17">
        <f t="shared" si="10"/>
        <v>7</v>
      </c>
      <c r="I345" s="17">
        <f>YEAR(Sheet1!$A345)</f>
        <v>2024</v>
      </c>
      <c r="J345" s="17">
        <f>DAY(Sheet1!$A345)</f>
        <v>1</v>
      </c>
      <c r="K345" s="18" t="s">
        <v>2022</v>
      </c>
      <c r="L345" s="19" t="str">
        <f t="shared" si="11"/>
        <v>Regular Customer</v>
      </c>
    </row>
    <row r="346" spans="1:12" ht="15.75" customHeight="1" x14ac:dyDescent="0.3">
      <c r="A346" s="7">
        <v>45500</v>
      </c>
      <c r="B346" s="8" t="s">
        <v>1422</v>
      </c>
      <c r="C346" s="8" t="s">
        <v>18</v>
      </c>
      <c r="D346" s="8" t="s">
        <v>14</v>
      </c>
      <c r="E346" s="9">
        <v>15.6</v>
      </c>
      <c r="F346" s="8" t="s">
        <v>10</v>
      </c>
      <c r="G346" s="8">
        <v>15.6</v>
      </c>
      <c r="H346" s="10">
        <f t="shared" si="10"/>
        <v>7</v>
      </c>
      <c r="I346" s="10">
        <f>YEAR(Sheet1!$A346)</f>
        <v>2024</v>
      </c>
      <c r="J346" s="10">
        <f>DAY(Sheet1!$A346)</f>
        <v>27</v>
      </c>
      <c r="K346" s="12" t="s">
        <v>2023</v>
      </c>
      <c r="L346" s="13" t="str">
        <f t="shared" si="11"/>
        <v>Regular Customer</v>
      </c>
    </row>
    <row r="347" spans="1:12" ht="15.75" customHeight="1" x14ac:dyDescent="0.3">
      <c r="A347" s="14">
        <v>45524</v>
      </c>
      <c r="B347" s="15" t="s">
        <v>694</v>
      </c>
      <c r="C347" s="15" t="s">
        <v>24</v>
      </c>
      <c r="D347" s="15" t="s">
        <v>19</v>
      </c>
      <c r="E347" s="16">
        <v>7.8</v>
      </c>
      <c r="F347" s="15" t="s">
        <v>10</v>
      </c>
      <c r="G347" s="15">
        <v>15.6</v>
      </c>
      <c r="H347" s="17">
        <f t="shared" si="10"/>
        <v>8</v>
      </c>
      <c r="I347" s="17">
        <f>YEAR(Sheet1!$A347)</f>
        <v>2024</v>
      </c>
      <c r="J347" s="17">
        <f>DAY(Sheet1!$A347)</f>
        <v>20</v>
      </c>
      <c r="K347" s="18" t="s">
        <v>2023</v>
      </c>
      <c r="L347" s="19" t="str">
        <f t="shared" si="11"/>
        <v>Regular Customer</v>
      </c>
    </row>
    <row r="348" spans="1:12" ht="15.75" customHeight="1" x14ac:dyDescent="0.3">
      <c r="A348" s="7">
        <v>45718</v>
      </c>
      <c r="B348" s="8" t="s">
        <v>1480</v>
      </c>
      <c r="C348" s="8" t="s">
        <v>18</v>
      </c>
      <c r="D348" s="8" t="s">
        <v>9</v>
      </c>
      <c r="E348" s="9">
        <v>15.61</v>
      </c>
      <c r="F348" s="8" t="s">
        <v>11</v>
      </c>
      <c r="G348" s="8">
        <v>15.61</v>
      </c>
      <c r="H348" s="10">
        <f t="shared" si="10"/>
        <v>3</v>
      </c>
      <c r="I348" s="10">
        <f>YEAR(Sheet1!$A348)</f>
        <v>2025</v>
      </c>
      <c r="J348" s="10">
        <f>DAY(Sheet1!$A348)</f>
        <v>2</v>
      </c>
      <c r="K348" s="12" t="s">
        <v>2023</v>
      </c>
      <c r="L348" s="13" t="str">
        <f t="shared" si="11"/>
        <v>Regular Customer</v>
      </c>
    </row>
    <row r="349" spans="1:12" ht="15.75" customHeight="1" x14ac:dyDescent="0.3">
      <c r="A349" s="14">
        <v>45561</v>
      </c>
      <c r="B349" s="15" t="s">
        <v>950</v>
      </c>
      <c r="C349" s="15" t="s">
        <v>13</v>
      </c>
      <c r="D349" s="15" t="s">
        <v>9</v>
      </c>
      <c r="E349" s="16">
        <v>15.64</v>
      </c>
      <c r="F349" s="15" t="s">
        <v>10</v>
      </c>
      <c r="G349" s="15">
        <v>15.64</v>
      </c>
      <c r="H349" s="17">
        <f t="shared" si="10"/>
        <v>9</v>
      </c>
      <c r="I349" s="17">
        <f>YEAR(Sheet1!$A349)</f>
        <v>2024</v>
      </c>
      <c r="J349" s="17">
        <f>DAY(Sheet1!$A349)</f>
        <v>26</v>
      </c>
      <c r="K349" s="18" t="s">
        <v>2022</v>
      </c>
      <c r="L349" s="19" t="str">
        <f t="shared" si="11"/>
        <v>Regular Customer</v>
      </c>
    </row>
    <row r="350" spans="1:12" ht="15.75" customHeight="1" x14ac:dyDescent="0.3">
      <c r="A350" s="7">
        <v>45450</v>
      </c>
      <c r="B350" s="8" t="s">
        <v>94</v>
      </c>
      <c r="C350" s="8" t="s">
        <v>13</v>
      </c>
      <c r="D350" s="8" t="s">
        <v>19</v>
      </c>
      <c r="E350" s="9">
        <v>15.66</v>
      </c>
      <c r="F350" s="8" t="s">
        <v>11</v>
      </c>
      <c r="G350" s="8">
        <v>15.66</v>
      </c>
      <c r="H350" s="10">
        <f t="shared" si="10"/>
        <v>6</v>
      </c>
      <c r="I350" s="10">
        <f>YEAR(Sheet1!$A350)</f>
        <v>2024</v>
      </c>
      <c r="J350" s="10">
        <f>DAY(Sheet1!$A350)</f>
        <v>7</v>
      </c>
      <c r="K350" s="12" t="s">
        <v>2022</v>
      </c>
      <c r="L350" s="13" t="str">
        <f t="shared" si="11"/>
        <v>Regular Customer</v>
      </c>
    </row>
    <row r="351" spans="1:12" ht="15.75" customHeight="1" x14ac:dyDescent="0.3">
      <c r="A351" s="14">
        <v>45536</v>
      </c>
      <c r="B351" s="15" t="s">
        <v>260</v>
      </c>
      <c r="C351" s="15" t="s">
        <v>8</v>
      </c>
      <c r="D351" s="15" t="s">
        <v>19</v>
      </c>
      <c r="E351" s="16">
        <v>7.84</v>
      </c>
      <c r="F351" s="15" t="s">
        <v>11</v>
      </c>
      <c r="G351" s="15">
        <v>15.68</v>
      </c>
      <c r="H351" s="17">
        <f t="shared" si="10"/>
        <v>9</v>
      </c>
      <c r="I351" s="17">
        <f>YEAR(Sheet1!$A351)</f>
        <v>2024</v>
      </c>
      <c r="J351" s="17">
        <f>DAY(Sheet1!$A351)</f>
        <v>1</v>
      </c>
      <c r="K351" s="18" t="s">
        <v>2022</v>
      </c>
      <c r="L351" s="19" t="str">
        <f t="shared" si="11"/>
        <v>Regular Customer</v>
      </c>
    </row>
    <row r="352" spans="1:12" ht="15.75" customHeight="1" x14ac:dyDescent="0.3">
      <c r="A352" s="7">
        <v>45595</v>
      </c>
      <c r="B352" s="8" t="s">
        <v>1386</v>
      </c>
      <c r="C352" s="8" t="s">
        <v>8</v>
      </c>
      <c r="D352" s="8" t="s">
        <v>14</v>
      </c>
      <c r="E352" s="9">
        <v>15.7</v>
      </c>
      <c r="F352" s="8" t="s">
        <v>10</v>
      </c>
      <c r="G352" s="8">
        <v>15.7</v>
      </c>
      <c r="H352" s="10">
        <f t="shared" si="10"/>
        <v>10</v>
      </c>
      <c r="I352" s="10">
        <f>YEAR(Sheet1!$A352)</f>
        <v>2024</v>
      </c>
      <c r="J352" s="10">
        <f>DAY(Sheet1!$A352)</f>
        <v>30</v>
      </c>
      <c r="K352" s="12" t="s">
        <v>2023</v>
      </c>
      <c r="L352" s="13" t="str">
        <f t="shared" si="11"/>
        <v>Regular Customer</v>
      </c>
    </row>
    <row r="353" spans="1:12" ht="15.75" customHeight="1" x14ac:dyDescent="0.3">
      <c r="A353" s="14">
        <v>45413</v>
      </c>
      <c r="B353" s="15" t="s">
        <v>942</v>
      </c>
      <c r="C353" s="15" t="s">
        <v>18</v>
      </c>
      <c r="D353" s="15" t="s">
        <v>16</v>
      </c>
      <c r="E353" s="16">
        <v>5.24</v>
      </c>
      <c r="F353" s="15" t="s">
        <v>11</v>
      </c>
      <c r="G353" s="15">
        <v>15.72</v>
      </c>
      <c r="H353" s="17">
        <f t="shared" si="10"/>
        <v>5</v>
      </c>
      <c r="I353" s="17">
        <f>YEAR(Sheet1!$A353)</f>
        <v>2024</v>
      </c>
      <c r="J353" s="17">
        <f>DAY(Sheet1!$A353)</f>
        <v>1</v>
      </c>
      <c r="K353" s="18" t="s">
        <v>2022</v>
      </c>
      <c r="L353" s="19" t="str">
        <f t="shared" si="11"/>
        <v>Regular Customer</v>
      </c>
    </row>
    <row r="354" spans="1:12" ht="15.75" customHeight="1" x14ac:dyDescent="0.3">
      <c r="A354" s="7">
        <v>45569</v>
      </c>
      <c r="B354" s="8" t="s">
        <v>141</v>
      </c>
      <c r="C354" s="8" t="s">
        <v>8</v>
      </c>
      <c r="D354" s="8" t="s">
        <v>9</v>
      </c>
      <c r="E354" s="9">
        <v>15.72</v>
      </c>
      <c r="F354" s="8" t="s">
        <v>10</v>
      </c>
      <c r="G354" s="8">
        <v>15.72</v>
      </c>
      <c r="H354" s="10">
        <f t="shared" si="10"/>
        <v>10</v>
      </c>
      <c r="I354" s="10">
        <f>YEAR(Sheet1!$A354)</f>
        <v>2024</v>
      </c>
      <c r="J354" s="10">
        <f>DAY(Sheet1!$A354)</f>
        <v>4</v>
      </c>
      <c r="K354" s="12" t="s">
        <v>2023</v>
      </c>
      <c r="L354" s="13" t="str">
        <f t="shared" si="11"/>
        <v>Regular Customer</v>
      </c>
    </row>
    <row r="355" spans="1:12" ht="15.75" customHeight="1" x14ac:dyDescent="0.3">
      <c r="A355" s="14">
        <v>45440</v>
      </c>
      <c r="B355" s="15" t="s">
        <v>1526</v>
      </c>
      <c r="C355" s="15" t="s">
        <v>8</v>
      </c>
      <c r="D355" s="15" t="s">
        <v>9</v>
      </c>
      <c r="E355" s="16">
        <v>7.87</v>
      </c>
      <c r="F355" s="15" t="s">
        <v>10</v>
      </c>
      <c r="G355" s="15">
        <v>15.74</v>
      </c>
      <c r="H355" s="17">
        <f t="shared" si="10"/>
        <v>5</v>
      </c>
      <c r="I355" s="17">
        <f>YEAR(Sheet1!$A355)</f>
        <v>2024</v>
      </c>
      <c r="J355" s="17">
        <f>DAY(Sheet1!$A355)</f>
        <v>28</v>
      </c>
      <c r="K355" s="18" t="s">
        <v>2022</v>
      </c>
      <c r="L355" s="19" t="str">
        <f t="shared" si="11"/>
        <v>Regular Customer</v>
      </c>
    </row>
    <row r="356" spans="1:12" ht="15.75" customHeight="1" x14ac:dyDescent="0.3">
      <c r="A356" s="7">
        <v>45728</v>
      </c>
      <c r="B356" s="8" t="s">
        <v>708</v>
      </c>
      <c r="C356" s="8" t="s">
        <v>13</v>
      </c>
      <c r="D356" s="8" t="s">
        <v>16</v>
      </c>
      <c r="E356" s="9">
        <v>5.25</v>
      </c>
      <c r="F356" s="8" t="s">
        <v>11</v>
      </c>
      <c r="G356" s="8">
        <v>15.75</v>
      </c>
      <c r="H356" s="10">
        <f t="shared" si="10"/>
        <v>3</v>
      </c>
      <c r="I356" s="10">
        <f>YEAR(Sheet1!$A356)</f>
        <v>2025</v>
      </c>
      <c r="J356" s="10">
        <f>DAY(Sheet1!$A356)</f>
        <v>12</v>
      </c>
      <c r="K356" s="12" t="s">
        <v>2023</v>
      </c>
      <c r="L356" s="13" t="str">
        <f t="shared" si="11"/>
        <v>Regular Customer</v>
      </c>
    </row>
    <row r="357" spans="1:12" ht="15.75" customHeight="1" x14ac:dyDescent="0.3">
      <c r="A357" s="14">
        <v>45599</v>
      </c>
      <c r="B357" s="15" t="s">
        <v>768</v>
      </c>
      <c r="C357" s="15" t="s">
        <v>24</v>
      </c>
      <c r="D357" s="15" t="s">
        <v>16</v>
      </c>
      <c r="E357" s="16">
        <v>7.89</v>
      </c>
      <c r="F357" s="15" t="s">
        <v>10</v>
      </c>
      <c r="G357" s="15">
        <v>15.78</v>
      </c>
      <c r="H357" s="17">
        <f t="shared" si="10"/>
        <v>11</v>
      </c>
      <c r="I357" s="17">
        <f>YEAR(Sheet1!$A357)</f>
        <v>2024</v>
      </c>
      <c r="J357" s="17">
        <f>DAY(Sheet1!$A357)</f>
        <v>3</v>
      </c>
      <c r="K357" s="18" t="s">
        <v>2023</v>
      </c>
      <c r="L357" s="19" t="str">
        <f t="shared" si="11"/>
        <v>Regular Customer</v>
      </c>
    </row>
    <row r="358" spans="1:12" ht="15.75" customHeight="1" x14ac:dyDescent="0.3">
      <c r="A358" s="7">
        <v>45773</v>
      </c>
      <c r="B358" s="8" t="s">
        <v>1727</v>
      </c>
      <c r="C358" s="8" t="s">
        <v>13</v>
      </c>
      <c r="D358" s="8" t="s">
        <v>9</v>
      </c>
      <c r="E358" s="9">
        <v>7.89</v>
      </c>
      <c r="F358" s="8" t="s">
        <v>11</v>
      </c>
      <c r="G358" s="8">
        <v>15.78</v>
      </c>
      <c r="H358" s="10">
        <f t="shared" si="10"/>
        <v>4</v>
      </c>
      <c r="I358" s="10">
        <f>YEAR(Sheet1!$A358)</f>
        <v>2025</v>
      </c>
      <c r="J358" s="10">
        <f>DAY(Sheet1!$A358)</f>
        <v>26</v>
      </c>
      <c r="K358" s="12" t="s">
        <v>2022</v>
      </c>
      <c r="L358" s="13" t="str">
        <f t="shared" si="11"/>
        <v>Regular Customer</v>
      </c>
    </row>
    <row r="359" spans="1:12" ht="15.75" customHeight="1" x14ac:dyDescent="0.3">
      <c r="A359" s="14">
        <v>45668</v>
      </c>
      <c r="B359" s="15" t="s">
        <v>302</v>
      </c>
      <c r="C359" s="15" t="s">
        <v>8</v>
      </c>
      <c r="D359" s="15" t="s">
        <v>16</v>
      </c>
      <c r="E359" s="16">
        <v>15.81</v>
      </c>
      <c r="F359" s="15" t="s">
        <v>11</v>
      </c>
      <c r="G359" s="15">
        <v>15.81</v>
      </c>
      <c r="H359" s="17">
        <f t="shared" si="10"/>
        <v>1</v>
      </c>
      <c r="I359" s="17">
        <f>YEAR(Sheet1!$A359)</f>
        <v>2025</v>
      </c>
      <c r="J359" s="17">
        <f>DAY(Sheet1!$A359)</f>
        <v>11</v>
      </c>
      <c r="K359" s="18" t="s">
        <v>2022</v>
      </c>
      <c r="L359" s="19" t="str">
        <f t="shared" si="11"/>
        <v>Regular Customer</v>
      </c>
    </row>
    <row r="360" spans="1:12" ht="15.75" customHeight="1" x14ac:dyDescent="0.3">
      <c r="A360" s="7">
        <v>45550</v>
      </c>
      <c r="B360" s="8" t="s">
        <v>1538</v>
      </c>
      <c r="C360" s="8" t="s">
        <v>8</v>
      </c>
      <c r="D360" s="8" t="s">
        <v>19</v>
      </c>
      <c r="E360" s="9">
        <v>15.84</v>
      </c>
      <c r="F360" s="8" t="s">
        <v>10</v>
      </c>
      <c r="G360" s="8">
        <v>15.84</v>
      </c>
      <c r="H360" s="10">
        <f t="shared" si="10"/>
        <v>9</v>
      </c>
      <c r="I360" s="10">
        <f>YEAR(Sheet1!$A360)</f>
        <v>2024</v>
      </c>
      <c r="J360" s="10">
        <f>DAY(Sheet1!$A360)</f>
        <v>15</v>
      </c>
      <c r="K360" s="12" t="s">
        <v>2023</v>
      </c>
      <c r="L360" s="13" t="str">
        <f t="shared" si="11"/>
        <v>Regular Customer</v>
      </c>
    </row>
    <row r="361" spans="1:12" ht="15.75" customHeight="1" x14ac:dyDescent="0.3">
      <c r="A361" s="14">
        <v>45658</v>
      </c>
      <c r="B361" s="15" t="s">
        <v>498</v>
      </c>
      <c r="C361" s="15" t="s">
        <v>13</v>
      </c>
      <c r="D361" s="15" t="s">
        <v>19</v>
      </c>
      <c r="E361" s="16">
        <v>7.93</v>
      </c>
      <c r="F361" s="15" t="s">
        <v>10</v>
      </c>
      <c r="G361" s="15">
        <v>15.86</v>
      </c>
      <c r="H361" s="17">
        <f t="shared" si="10"/>
        <v>1</v>
      </c>
      <c r="I361" s="17">
        <f>YEAR(Sheet1!$A361)</f>
        <v>2025</v>
      </c>
      <c r="J361" s="17">
        <f>DAY(Sheet1!$A361)</f>
        <v>1</v>
      </c>
      <c r="K361" s="18" t="s">
        <v>2023</v>
      </c>
      <c r="L361" s="19" t="str">
        <f t="shared" si="11"/>
        <v>Regular Customer</v>
      </c>
    </row>
    <row r="362" spans="1:12" ht="15.75" customHeight="1" x14ac:dyDescent="0.3">
      <c r="A362" s="7">
        <v>45764</v>
      </c>
      <c r="B362" s="8" t="s">
        <v>517</v>
      </c>
      <c r="C362" s="8" t="s">
        <v>24</v>
      </c>
      <c r="D362" s="8" t="s">
        <v>14</v>
      </c>
      <c r="E362" s="9">
        <v>15.88</v>
      </c>
      <c r="F362" s="8" t="s">
        <v>10</v>
      </c>
      <c r="G362" s="8">
        <v>15.88</v>
      </c>
      <c r="H362" s="10">
        <f t="shared" si="10"/>
        <v>4</v>
      </c>
      <c r="I362" s="10">
        <f>YEAR(Sheet1!$A362)</f>
        <v>2025</v>
      </c>
      <c r="J362" s="10">
        <f>DAY(Sheet1!$A362)</f>
        <v>17</v>
      </c>
      <c r="K362" s="12" t="s">
        <v>2022</v>
      </c>
      <c r="L362" s="13" t="str">
        <f t="shared" si="11"/>
        <v>Regular Customer</v>
      </c>
    </row>
    <row r="363" spans="1:12" ht="15.75" customHeight="1" x14ac:dyDescent="0.3">
      <c r="A363" s="14">
        <v>45765</v>
      </c>
      <c r="B363" s="15" t="s">
        <v>207</v>
      </c>
      <c r="C363" s="15" t="s">
        <v>18</v>
      </c>
      <c r="D363" s="15" t="s">
        <v>9</v>
      </c>
      <c r="E363" s="16">
        <v>7.94</v>
      </c>
      <c r="F363" s="15" t="s">
        <v>11</v>
      </c>
      <c r="G363" s="15">
        <v>15.88</v>
      </c>
      <c r="H363" s="17">
        <f t="shared" si="10"/>
        <v>4</v>
      </c>
      <c r="I363" s="17">
        <f>YEAR(Sheet1!$A363)</f>
        <v>2025</v>
      </c>
      <c r="J363" s="17">
        <f>DAY(Sheet1!$A363)</f>
        <v>18</v>
      </c>
      <c r="K363" s="18" t="s">
        <v>2022</v>
      </c>
      <c r="L363" s="19" t="str">
        <f t="shared" si="11"/>
        <v>Regular Customer</v>
      </c>
    </row>
    <row r="364" spans="1:12" ht="15.75" customHeight="1" x14ac:dyDescent="0.3">
      <c r="A364" s="7">
        <v>45759</v>
      </c>
      <c r="B364" s="8" t="s">
        <v>1177</v>
      </c>
      <c r="C364" s="8" t="s">
        <v>8</v>
      </c>
      <c r="D364" s="8" t="s">
        <v>14</v>
      </c>
      <c r="E364" s="9">
        <v>15.92</v>
      </c>
      <c r="F364" s="8" t="s">
        <v>11</v>
      </c>
      <c r="G364" s="8">
        <v>15.92</v>
      </c>
      <c r="H364" s="10">
        <f t="shared" si="10"/>
        <v>4</v>
      </c>
      <c r="I364" s="10">
        <f>YEAR(Sheet1!$A364)</f>
        <v>2025</v>
      </c>
      <c r="J364" s="10">
        <f>DAY(Sheet1!$A364)</f>
        <v>12</v>
      </c>
      <c r="K364" s="12" t="s">
        <v>2022</v>
      </c>
      <c r="L364" s="13" t="str">
        <f t="shared" si="11"/>
        <v>Regular Customer</v>
      </c>
    </row>
    <row r="365" spans="1:12" ht="15.75" customHeight="1" x14ac:dyDescent="0.3">
      <c r="A365" s="14">
        <v>45578</v>
      </c>
      <c r="B365" s="15" t="s">
        <v>850</v>
      </c>
      <c r="C365" s="15" t="s">
        <v>24</v>
      </c>
      <c r="D365" s="15" t="s">
        <v>19</v>
      </c>
      <c r="E365" s="16">
        <v>15.93</v>
      </c>
      <c r="F365" s="15" t="s">
        <v>11</v>
      </c>
      <c r="G365" s="15">
        <v>15.93</v>
      </c>
      <c r="H365" s="17">
        <f t="shared" si="10"/>
        <v>10</v>
      </c>
      <c r="I365" s="17">
        <f>YEAR(Sheet1!$A365)</f>
        <v>2024</v>
      </c>
      <c r="J365" s="17">
        <f>DAY(Sheet1!$A365)</f>
        <v>13</v>
      </c>
      <c r="K365" s="18" t="s">
        <v>2022</v>
      </c>
      <c r="L365" s="19" t="str">
        <f t="shared" si="11"/>
        <v>Regular Customer</v>
      </c>
    </row>
    <row r="366" spans="1:12" ht="15.75" customHeight="1" x14ac:dyDescent="0.3">
      <c r="A366" s="7">
        <v>45586</v>
      </c>
      <c r="B366" s="8" t="s">
        <v>571</v>
      </c>
      <c r="C366" s="8" t="s">
        <v>13</v>
      </c>
      <c r="D366" s="8" t="s">
        <v>19</v>
      </c>
      <c r="E366" s="9">
        <v>7.99</v>
      </c>
      <c r="F366" s="8" t="s">
        <v>10</v>
      </c>
      <c r="G366" s="8">
        <v>15.98</v>
      </c>
      <c r="H366" s="10">
        <f t="shared" si="10"/>
        <v>10</v>
      </c>
      <c r="I366" s="10">
        <f>YEAR(Sheet1!$A366)</f>
        <v>2024</v>
      </c>
      <c r="J366" s="10">
        <f>DAY(Sheet1!$A366)</f>
        <v>21</v>
      </c>
      <c r="K366" s="12" t="s">
        <v>2023</v>
      </c>
      <c r="L366" s="13" t="str">
        <f t="shared" si="11"/>
        <v>Regular Customer</v>
      </c>
    </row>
    <row r="367" spans="1:12" ht="15.75" customHeight="1" x14ac:dyDescent="0.3">
      <c r="A367" s="14">
        <v>45614</v>
      </c>
      <c r="B367" s="15" t="s">
        <v>299</v>
      </c>
      <c r="C367" s="15" t="s">
        <v>18</v>
      </c>
      <c r="D367" s="15" t="s">
        <v>16</v>
      </c>
      <c r="E367" s="16">
        <v>7.99</v>
      </c>
      <c r="F367" s="15" t="s">
        <v>11</v>
      </c>
      <c r="G367" s="15">
        <v>15.98</v>
      </c>
      <c r="H367" s="17">
        <f t="shared" si="10"/>
        <v>11</v>
      </c>
      <c r="I367" s="17">
        <f>YEAR(Sheet1!$A367)</f>
        <v>2024</v>
      </c>
      <c r="J367" s="17">
        <f>DAY(Sheet1!$A367)</f>
        <v>18</v>
      </c>
      <c r="K367" s="18" t="s">
        <v>2023</v>
      </c>
      <c r="L367" s="19" t="str">
        <f t="shared" si="11"/>
        <v>Regular Customer</v>
      </c>
    </row>
    <row r="368" spans="1:12" ht="15.75" customHeight="1" x14ac:dyDescent="0.3">
      <c r="A368" s="7">
        <v>45623</v>
      </c>
      <c r="B368" s="8" t="s">
        <v>468</v>
      </c>
      <c r="C368" s="8" t="s">
        <v>13</v>
      </c>
      <c r="D368" s="8" t="s">
        <v>14</v>
      </c>
      <c r="E368" s="9">
        <v>7.99</v>
      </c>
      <c r="F368" s="8" t="s">
        <v>10</v>
      </c>
      <c r="G368" s="8">
        <v>15.98</v>
      </c>
      <c r="H368" s="10">
        <f t="shared" si="10"/>
        <v>11</v>
      </c>
      <c r="I368" s="10">
        <f>YEAR(Sheet1!$A368)</f>
        <v>2024</v>
      </c>
      <c r="J368" s="10">
        <f>DAY(Sheet1!$A368)</f>
        <v>27</v>
      </c>
      <c r="K368" s="12" t="s">
        <v>2023</v>
      </c>
      <c r="L368" s="13" t="str">
        <f t="shared" si="11"/>
        <v>Regular Customer</v>
      </c>
    </row>
    <row r="369" spans="1:12" ht="15.75" customHeight="1" x14ac:dyDescent="0.3">
      <c r="A369" s="14">
        <v>45757</v>
      </c>
      <c r="B369" s="15" t="s">
        <v>407</v>
      </c>
      <c r="C369" s="15" t="s">
        <v>18</v>
      </c>
      <c r="D369" s="15" t="s">
        <v>16</v>
      </c>
      <c r="E369" s="16">
        <v>5.33</v>
      </c>
      <c r="F369" s="15" t="s">
        <v>11</v>
      </c>
      <c r="G369" s="15">
        <v>15.99</v>
      </c>
      <c r="H369" s="17">
        <f t="shared" si="10"/>
        <v>4</v>
      </c>
      <c r="I369" s="17">
        <f>YEAR(Sheet1!$A369)</f>
        <v>2025</v>
      </c>
      <c r="J369" s="17">
        <f>DAY(Sheet1!$A369)</f>
        <v>10</v>
      </c>
      <c r="K369" s="18" t="s">
        <v>2023</v>
      </c>
      <c r="L369" s="19" t="str">
        <f t="shared" si="11"/>
        <v>Regular Customer</v>
      </c>
    </row>
    <row r="370" spans="1:12" ht="15.75" customHeight="1" x14ac:dyDescent="0.3">
      <c r="A370" s="7">
        <v>45559</v>
      </c>
      <c r="B370" s="8" t="s">
        <v>253</v>
      </c>
      <c r="C370" s="8" t="s">
        <v>13</v>
      </c>
      <c r="D370" s="8" t="s">
        <v>14</v>
      </c>
      <c r="E370" s="9">
        <v>8</v>
      </c>
      <c r="F370" s="8" t="s">
        <v>10</v>
      </c>
      <c r="G370" s="8">
        <v>16</v>
      </c>
      <c r="H370" s="10">
        <f t="shared" si="10"/>
        <v>9</v>
      </c>
      <c r="I370" s="10">
        <f>YEAR(Sheet1!$A370)</f>
        <v>2024</v>
      </c>
      <c r="J370" s="10">
        <f>DAY(Sheet1!$A370)</f>
        <v>24</v>
      </c>
      <c r="K370" s="12" t="s">
        <v>2022</v>
      </c>
      <c r="L370" s="13" t="str">
        <f t="shared" si="11"/>
        <v>Regular Customer</v>
      </c>
    </row>
    <row r="371" spans="1:12" ht="15.75" customHeight="1" x14ac:dyDescent="0.3">
      <c r="A371" s="14">
        <v>45731</v>
      </c>
      <c r="B371" s="15" t="s">
        <v>999</v>
      </c>
      <c r="C371" s="15" t="s">
        <v>8</v>
      </c>
      <c r="D371" s="15" t="s">
        <v>19</v>
      </c>
      <c r="E371" s="16">
        <v>8</v>
      </c>
      <c r="F371" s="15" t="s">
        <v>10</v>
      </c>
      <c r="G371" s="15">
        <v>16</v>
      </c>
      <c r="H371" s="17">
        <f t="shared" si="10"/>
        <v>3</v>
      </c>
      <c r="I371" s="17">
        <f>YEAR(Sheet1!$A371)</f>
        <v>2025</v>
      </c>
      <c r="J371" s="17">
        <f>DAY(Sheet1!$A371)</f>
        <v>15</v>
      </c>
      <c r="K371" s="18" t="s">
        <v>2022</v>
      </c>
      <c r="L371" s="19" t="str">
        <f t="shared" si="11"/>
        <v>Regular Customer</v>
      </c>
    </row>
    <row r="372" spans="1:12" ht="15.75" customHeight="1" x14ac:dyDescent="0.3">
      <c r="A372" s="7">
        <v>45681</v>
      </c>
      <c r="B372" s="8" t="s">
        <v>1050</v>
      </c>
      <c r="C372" s="8" t="s">
        <v>18</v>
      </c>
      <c r="D372" s="8" t="s">
        <v>9</v>
      </c>
      <c r="E372" s="9">
        <v>16.059999999999999</v>
      </c>
      <c r="F372" s="8" t="s">
        <v>10</v>
      </c>
      <c r="G372" s="8">
        <v>16.059999999999999</v>
      </c>
      <c r="H372" s="10">
        <f t="shared" si="10"/>
        <v>1</v>
      </c>
      <c r="I372" s="10">
        <f>YEAR(Sheet1!$A372)</f>
        <v>2025</v>
      </c>
      <c r="J372" s="10">
        <f>DAY(Sheet1!$A372)</f>
        <v>24</v>
      </c>
      <c r="K372" s="12" t="s">
        <v>2022</v>
      </c>
      <c r="L372" s="13" t="str">
        <f t="shared" si="11"/>
        <v>Regular Customer</v>
      </c>
    </row>
    <row r="373" spans="1:12" ht="15.75" customHeight="1" x14ac:dyDescent="0.3">
      <c r="A373" s="14">
        <v>45767</v>
      </c>
      <c r="B373" s="15" t="s">
        <v>1264</v>
      </c>
      <c r="C373" s="15" t="s">
        <v>18</v>
      </c>
      <c r="D373" s="15" t="s">
        <v>14</v>
      </c>
      <c r="E373" s="16">
        <v>16.059999999999999</v>
      </c>
      <c r="F373" s="15" t="s">
        <v>10</v>
      </c>
      <c r="G373" s="15">
        <v>16.059999999999999</v>
      </c>
      <c r="H373" s="17">
        <f t="shared" si="10"/>
        <v>4</v>
      </c>
      <c r="I373" s="17">
        <f>YEAR(Sheet1!$A373)</f>
        <v>2025</v>
      </c>
      <c r="J373" s="17">
        <f>DAY(Sheet1!$A373)</f>
        <v>20</v>
      </c>
      <c r="K373" s="18" t="s">
        <v>2022</v>
      </c>
      <c r="L373" s="19" t="str">
        <f t="shared" si="11"/>
        <v>Regular Customer</v>
      </c>
    </row>
    <row r="374" spans="1:12" ht="15.75" customHeight="1" x14ac:dyDescent="0.3">
      <c r="A374" s="7">
        <v>45627</v>
      </c>
      <c r="B374" s="8" t="s">
        <v>437</v>
      </c>
      <c r="C374" s="8" t="s">
        <v>8</v>
      </c>
      <c r="D374" s="8" t="s">
        <v>9</v>
      </c>
      <c r="E374" s="9">
        <v>16.07</v>
      </c>
      <c r="F374" s="8" t="s">
        <v>11</v>
      </c>
      <c r="G374" s="8">
        <v>16.07</v>
      </c>
      <c r="H374" s="10">
        <f t="shared" si="10"/>
        <v>12</v>
      </c>
      <c r="I374" s="10">
        <f>YEAR(Sheet1!$A374)</f>
        <v>2024</v>
      </c>
      <c r="J374" s="10">
        <f>DAY(Sheet1!$A374)</f>
        <v>1</v>
      </c>
      <c r="K374" s="12" t="s">
        <v>2023</v>
      </c>
      <c r="L374" s="13" t="str">
        <f t="shared" si="11"/>
        <v>Regular Customer</v>
      </c>
    </row>
    <row r="375" spans="1:12" ht="15.75" customHeight="1" x14ac:dyDescent="0.3">
      <c r="A375" s="14">
        <v>45417</v>
      </c>
      <c r="B375" s="15" t="s">
        <v>1547</v>
      </c>
      <c r="C375" s="15" t="s">
        <v>18</v>
      </c>
      <c r="D375" s="15" t="s">
        <v>16</v>
      </c>
      <c r="E375" s="16">
        <v>16.079999999999998</v>
      </c>
      <c r="F375" s="15" t="s">
        <v>11</v>
      </c>
      <c r="G375" s="15">
        <v>16.079999999999998</v>
      </c>
      <c r="H375" s="17">
        <f t="shared" si="10"/>
        <v>5</v>
      </c>
      <c r="I375" s="17">
        <f>YEAR(Sheet1!$A375)</f>
        <v>2024</v>
      </c>
      <c r="J375" s="17">
        <f>DAY(Sheet1!$A375)</f>
        <v>5</v>
      </c>
      <c r="K375" s="18" t="s">
        <v>2023</v>
      </c>
      <c r="L375" s="19" t="str">
        <f t="shared" si="11"/>
        <v>Regular Customer</v>
      </c>
    </row>
    <row r="376" spans="1:12" ht="15.75" customHeight="1" x14ac:dyDescent="0.3">
      <c r="A376" s="7">
        <v>45461</v>
      </c>
      <c r="B376" s="8" t="s">
        <v>928</v>
      </c>
      <c r="C376" s="8" t="s">
        <v>13</v>
      </c>
      <c r="D376" s="8" t="s">
        <v>9</v>
      </c>
      <c r="E376" s="9">
        <v>5.36</v>
      </c>
      <c r="F376" s="8" t="s">
        <v>10</v>
      </c>
      <c r="G376" s="8">
        <v>16.079999999999998</v>
      </c>
      <c r="H376" s="10">
        <f t="shared" si="10"/>
        <v>6</v>
      </c>
      <c r="I376" s="10">
        <f>YEAR(Sheet1!$A376)</f>
        <v>2024</v>
      </c>
      <c r="J376" s="10">
        <f>DAY(Sheet1!$A376)</f>
        <v>18</v>
      </c>
      <c r="K376" s="12" t="s">
        <v>2023</v>
      </c>
      <c r="L376" s="13" t="str">
        <f t="shared" si="11"/>
        <v>Regular Customer</v>
      </c>
    </row>
    <row r="377" spans="1:12" ht="15.75" customHeight="1" x14ac:dyDescent="0.3">
      <c r="A377" s="14">
        <v>45423</v>
      </c>
      <c r="B377" s="15" t="s">
        <v>1116</v>
      </c>
      <c r="C377" s="15" t="s">
        <v>24</v>
      </c>
      <c r="D377" s="15" t="s">
        <v>16</v>
      </c>
      <c r="E377" s="16">
        <v>8.1199999999999992</v>
      </c>
      <c r="F377" s="15" t="s">
        <v>10</v>
      </c>
      <c r="G377" s="15">
        <v>16.239999999999998</v>
      </c>
      <c r="H377" s="17">
        <f t="shared" si="10"/>
        <v>5</v>
      </c>
      <c r="I377" s="17">
        <f>YEAR(Sheet1!$A377)</f>
        <v>2024</v>
      </c>
      <c r="J377" s="17">
        <f>DAY(Sheet1!$A377)</f>
        <v>11</v>
      </c>
      <c r="K377" s="18" t="s">
        <v>2022</v>
      </c>
      <c r="L377" s="19" t="str">
        <f t="shared" si="11"/>
        <v>Regular Customer</v>
      </c>
    </row>
    <row r="378" spans="1:12" ht="15.75" customHeight="1" x14ac:dyDescent="0.3">
      <c r="A378" s="7">
        <v>45653</v>
      </c>
      <c r="B378" s="8" t="s">
        <v>916</v>
      </c>
      <c r="C378" s="8" t="s">
        <v>18</v>
      </c>
      <c r="D378" s="8" t="s">
        <v>16</v>
      </c>
      <c r="E378" s="9">
        <v>5.43</v>
      </c>
      <c r="F378" s="8" t="s">
        <v>11</v>
      </c>
      <c r="G378" s="8">
        <v>16.29</v>
      </c>
      <c r="H378" s="10">
        <f t="shared" si="10"/>
        <v>12</v>
      </c>
      <c r="I378" s="10">
        <f>YEAR(Sheet1!$A378)</f>
        <v>2024</v>
      </c>
      <c r="J378" s="10">
        <f>DAY(Sheet1!$A378)</f>
        <v>27</v>
      </c>
      <c r="K378" s="12" t="s">
        <v>2023</v>
      </c>
      <c r="L378" s="13" t="str">
        <f t="shared" si="11"/>
        <v>Regular Customer</v>
      </c>
    </row>
    <row r="379" spans="1:12" ht="15.75" customHeight="1" x14ac:dyDescent="0.3">
      <c r="A379" s="14">
        <v>45618</v>
      </c>
      <c r="B379" s="15" t="s">
        <v>1992</v>
      </c>
      <c r="C379" s="15" t="s">
        <v>13</v>
      </c>
      <c r="D379" s="15" t="s">
        <v>16</v>
      </c>
      <c r="E379" s="16">
        <v>16.329999999999998</v>
      </c>
      <c r="F379" s="15" t="s">
        <v>11</v>
      </c>
      <c r="G379" s="15">
        <v>16.329999999999998</v>
      </c>
      <c r="H379" s="17">
        <f t="shared" si="10"/>
        <v>11</v>
      </c>
      <c r="I379" s="17">
        <f>YEAR(Sheet1!$A379)</f>
        <v>2024</v>
      </c>
      <c r="J379" s="17">
        <f>DAY(Sheet1!$A379)</f>
        <v>22</v>
      </c>
      <c r="K379" s="18" t="s">
        <v>2022</v>
      </c>
      <c r="L379" s="19" t="str">
        <f t="shared" si="11"/>
        <v>Regular Customer</v>
      </c>
    </row>
    <row r="380" spans="1:12" ht="15.75" customHeight="1" x14ac:dyDescent="0.3">
      <c r="A380" s="7">
        <v>45752</v>
      </c>
      <c r="B380" s="8" t="s">
        <v>1165</v>
      </c>
      <c r="C380" s="8" t="s">
        <v>8</v>
      </c>
      <c r="D380" s="8" t="s">
        <v>19</v>
      </c>
      <c r="E380" s="9">
        <v>16.329999999999998</v>
      </c>
      <c r="F380" s="8" t="s">
        <v>11</v>
      </c>
      <c r="G380" s="8">
        <v>16.329999999999998</v>
      </c>
      <c r="H380" s="10">
        <f t="shared" si="10"/>
        <v>4</v>
      </c>
      <c r="I380" s="10">
        <f>YEAR(Sheet1!$A380)</f>
        <v>2025</v>
      </c>
      <c r="J380" s="10">
        <f>DAY(Sheet1!$A380)</f>
        <v>5</v>
      </c>
      <c r="K380" s="12" t="s">
        <v>2023</v>
      </c>
      <c r="L380" s="13" t="str">
        <f t="shared" si="11"/>
        <v>Regular Customer</v>
      </c>
    </row>
    <row r="381" spans="1:12" ht="15.75" customHeight="1" x14ac:dyDescent="0.3">
      <c r="A381" s="14">
        <v>45464</v>
      </c>
      <c r="B381" s="15" t="s">
        <v>1056</v>
      </c>
      <c r="C381" s="15" t="s">
        <v>8</v>
      </c>
      <c r="D381" s="15" t="s">
        <v>19</v>
      </c>
      <c r="E381" s="16">
        <v>16.350000000000001</v>
      </c>
      <c r="F381" s="15" t="s">
        <v>11</v>
      </c>
      <c r="G381" s="15">
        <v>16.350000000000001</v>
      </c>
      <c r="H381" s="17">
        <f t="shared" si="10"/>
        <v>6</v>
      </c>
      <c r="I381" s="17">
        <f>YEAR(Sheet1!$A381)</f>
        <v>2024</v>
      </c>
      <c r="J381" s="17">
        <f>DAY(Sheet1!$A381)</f>
        <v>21</v>
      </c>
      <c r="K381" s="18" t="s">
        <v>2023</v>
      </c>
      <c r="L381" s="19" t="str">
        <f t="shared" si="11"/>
        <v>Regular Customer</v>
      </c>
    </row>
    <row r="382" spans="1:12" ht="15.75" customHeight="1" x14ac:dyDescent="0.3">
      <c r="A382" s="7">
        <v>45516</v>
      </c>
      <c r="B382" s="8" t="s">
        <v>23</v>
      </c>
      <c r="C382" s="8" t="s">
        <v>24</v>
      </c>
      <c r="D382" s="8" t="s">
        <v>14</v>
      </c>
      <c r="E382" s="9">
        <v>5.45</v>
      </c>
      <c r="F382" s="8" t="s">
        <v>10</v>
      </c>
      <c r="G382" s="8">
        <v>16.350000000000001</v>
      </c>
      <c r="H382" s="10">
        <f t="shared" si="10"/>
        <v>8</v>
      </c>
      <c r="I382" s="10">
        <f>YEAR(Sheet1!$A382)</f>
        <v>2024</v>
      </c>
      <c r="J382" s="10">
        <f>DAY(Sheet1!$A382)</f>
        <v>12</v>
      </c>
      <c r="K382" s="12" t="s">
        <v>2023</v>
      </c>
      <c r="L382" s="13" t="str">
        <f t="shared" si="11"/>
        <v>Regular Customer</v>
      </c>
    </row>
    <row r="383" spans="1:12" ht="15.75" customHeight="1" x14ac:dyDescent="0.3">
      <c r="A383" s="14">
        <v>45474</v>
      </c>
      <c r="B383" s="15" t="s">
        <v>366</v>
      </c>
      <c r="C383" s="15" t="s">
        <v>18</v>
      </c>
      <c r="D383" s="15" t="s">
        <v>19</v>
      </c>
      <c r="E383" s="16">
        <v>16.38</v>
      </c>
      <c r="F383" s="15" t="s">
        <v>10</v>
      </c>
      <c r="G383" s="15">
        <v>16.38</v>
      </c>
      <c r="H383" s="17">
        <f t="shared" si="10"/>
        <v>7</v>
      </c>
      <c r="I383" s="17">
        <f>YEAR(Sheet1!$A383)</f>
        <v>2024</v>
      </c>
      <c r="J383" s="17">
        <f>DAY(Sheet1!$A383)</f>
        <v>1</v>
      </c>
      <c r="K383" s="18" t="s">
        <v>2022</v>
      </c>
      <c r="L383" s="19" t="str">
        <f t="shared" si="11"/>
        <v>Regular Customer</v>
      </c>
    </row>
    <row r="384" spans="1:12" ht="15.75" customHeight="1" x14ac:dyDescent="0.3">
      <c r="A384" s="7">
        <v>45714</v>
      </c>
      <c r="B384" s="8" t="s">
        <v>336</v>
      </c>
      <c r="C384" s="8" t="s">
        <v>18</v>
      </c>
      <c r="D384" s="8" t="s">
        <v>9</v>
      </c>
      <c r="E384" s="9">
        <v>16.38</v>
      </c>
      <c r="F384" s="8" t="s">
        <v>10</v>
      </c>
      <c r="G384" s="8">
        <v>16.38</v>
      </c>
      <c r="H384" s="10">
        <f t="shared" si="10"/>
        <v>2</v>
      </c>
      <c r="I384" s="10">
        <f>YEAR(Sheet1!$A384)</f>
        <v>2025</v>
      </c>
      <c r="J384" s="10">
        <f>DAY(Sheet1!$A384)</f>
        <v>26</v>
      </c>
      <c r="K384" s="12" t="s">
        <v>2022</v>
      </c>
      <c r="L384" s="13" t="str">
        <f t="shared" si="11"/>
        <v>Regular Customer</v>
      </c>
    </row>
    <row r="385" spans="1:12" ht="15.75" customHeight="1" x14ac:dyDescent="0.3">
      <c r="A385" s="14">
        <v>45768</v>
      </c>
      <c r="B385" s="15" t="s">
        <v>103</v>
      </c>
      <c r="C385" s="15" t="s">
        <v>24</v>
      </c>
      <c r="D385" s="15" t="s">
        <v>9</v>
      </c>
      <c r="E385" s="16">
        <v>16.39</v>
      </c>
      <c r="F385" s="15" t="s">
        <v>11</v>
      </c>
      <c r="G385" s="15">
        <v>16.39</v>
      </c>
      <c r="H385" s="17">
        <f t="shared" si="10"/>
        <v>4</v>
      </c>
      <c r="I385" s="17">
        <f>YEAR(Sheet1!$A385)</f>
        <v>2025</v>
      </c>
      <c r="J385" s="17">
        <f>DAY(Sheet1!$A385)</f>
        <v>21</v>
      </c>
      <c r="K385" s="18" t="s">
        <v>2023</v>
      </c>
      <c r="L385" s="19" t="str">
        <f t="shared" si="11"/>
        <v>Regular Customer</v>
      </c>
    </row>
    <row r="386" spans="1:12" ht="15.75" customHeight="1" x14ac:dyDescent="0.3">
      <c r="A386" s="7">
        <v>45777</v>
      </c>
      <c r="B386" s="8" t="s">
        <v>431</v>
      </c>
      <c r="C386" s="8" t="s">
        <v>18</v>
      </c>
      <c r="D386" s="8" t="s">
        <v>19</v>
      </c>
      <c r="E386" s="9">
        <v>16.39</v>
      </c>
      <c r="F386" s="8" t="s">
        <v>10</v>
      </c>
      <c r="G386" s="8">
        <v>16.39</v>
      </c>
      <c r="H386" s="10">
        <f t="shared" ref="H386:H449" si="12">MONTH(A386)</f>
        <v>4</v>
      </c>
      <c r="I386" s="10">
        <f>YEAR(Sheet1!$A386)</f>
        <v>2025</v>
      </c>
      <c r="J386" s="10">
        <f>DAY(Sheet1!$A386)</f>
        <v>30</v>
      </c>
      <c r="K386" s="12" t="s">
        <v>2023</v>
      </c>
      <c r="L386" s="13" t="str">
        <f t="shared" ref="L386:L449" si="13">IF(G386&gt;50,"Premium Customer","Regular Customer")</f>
        <v>Regular Customer</v>
      </c>
    </row>
    <row r="387" spans="1:12" ht="15.75" customHeight="1" x14ac:dyDescent="0.3">
      <c r="A387" s="14">
        <v>45696</v>
      </c>
      <c r="B387" s="15" t="s">
        <v>228</v>
      </c>
      <c r="C387" s="15" t="s">
        <v>24</v>
      </c>
      <c r="D387" s="15" t="s">
        <v>16</v>
      </c>
      <c r="E387" s="16">
        <v>16.45</v>
      </c>
      <c r="F387" s="15" t="s">
        <v>10</v>
      </c>
      <c r="G387" s="15">
        <v>16.45</v>
      </c>
      <c r="H387" s="17">
        <f t="shared" si="12"/>
        <v>2</v>
      </c>
      <c r="I387" s="17">
        <f>YEAR(Sheet1!$A387)</f>
        <v>2025</v>
      </c>
      <c r="J387" s="17">
        <f>DAY(Sheet1!$A387)</f>
        <v>8</v>
      </c>
      <c r="K387" s="18" t="s">
        <v>2023</v>
      </c>
      <c r="L387" s="19" t="str">
        <f t="shared" si="13"/>
        <v>Regular Customer</v>
      </c>
    </row>
    <row r="388" spans="1:12" ht="15.75" customHeight="1" x14ac:dyDescent="0.3">
      <c r="A388" s="7">
        <v>45503</v>
      </c>
      <c r="B388" s="8" t="s">
        <v>1797</v>
      </c>
      <c r="C388" s="8" t="s">
        <v>13</v>
      </c>
      <c r="D388" s="8" t="s">
        <v>9</v>
      </c>
      <c r="E388" s="9">
        <v>5.49</v>
      </c>
      <c r="F388" s="8" t="s">
        <v>11</v>
      </c>
      <c r="G388" s="8">
        <v>16.47</v>
      </c>
      <c r="H388" s="10">
        <f t="shared" si="12"/>
        <v>7</v>
      </c>
      <c r="I388" s="10">
        <f>YEAR(Sheet1!$A388)</f>
        <v>2024</v>
      </c>
      <c r="J388" s="10">
        <f>DAY(Sheet1!$A388)</f>
        <v>30</v>
      </c>
      <c r="K388" s="12" t="s">
        <v>2023</v>
      </c>
      <c r="L388" s="13" t="str">
        <f t="shared" si="13"/>
        <v>Regular Customer</v>
      </c>
    </row>
    <row r="389" spans="1:12" ht="15.75" customHeight="1" x14ac:dyDescent="0.3">
      <c r="A389" s="14">
        <v>45478</v>
      </c>
      <c r="B389" s="15" t="s">
        <v>625</v>
      </c>
      <c r="C389" s="15" t="s">
        <v>8</v>
      </c>
      <c r="D389" s="15" t="s">
        <v>16</v>
      </c>
      <c r="E389" s="16">
        <v>5.51</v>
      </c>
      <c r="F389" s="15" t="s">
        <v>10</v>
      </c>
      <c r="G389" s="15">
        <v>16.53</v>
      </c>
      <c r="H389" s="17">
        <f t="shared" si="12"/>
        <v>7</v>
      </c>
      <c r="I389" s="17">
        <f>YEAR(Sheet1!$A389)</f>
        <v>2024</v>
      </c>
      <c r="J389" s="17">
        <f>DAY(Sheet1!$A389)</f>
        <v>5</v>
      </c>
      <c r="K389" s="18" t="s">
        <v>2022</v>
      </c>
      <c r="L389" s="19" t="str">
        <f t="shared" si="13"/>
        <v>Regular Customer</v>
      </c>
    </row>
    <row r="390" spans="1:12" ht="15.75" customHeight="1" x14ac:dyDescent="0.3">
      <c r="A390" s="7">
        <v>45706</v>
      </c>
      <c r="B390" s="8" t="s">
        <v>848</v>
      </c>
      <c r="C390" s="8" t="s">
        <v>8</v>
      </c>
      <c r="D390" s="8" t="s">
        <v>14</v>
      </c>
      <c r="E390" s="9">
        <v>8.27</v>
      </c>
      <c r="F390" s="8" t="s">
        <v>11</v>
      </c>
      <c r="G390" s="8">
        <v>16.54</v>
      </c>
      <c r="H390" s="10">
        <f t="shared" si="12"/>
        <v>2</v>
      </c>
      <c r="I390" s="10">
        <f>YEAR(Sheet1!$A390)</f>
        <v>2025</v>
      </c>
      <c r="J390" s="10">
        <f>DAY(Sheet1!$A390)</f>
        <v>18</v>
      </c>
      <c r="K390" s="12" t="s">
        <v>2022</v>
      </c>
      <c r="L390" s="13" t="str">
        <f t="shared" si="13"/>
        <v>Regular Customer</v>
      </c>
    </row>
    <row r="391" spans="1:12" ht="15.75" customHeight="1" x14ac:dyDescent="0.3">
      <c r="A391" s="14">
        <v>45567</v>
      </c>
      <c r="B391" s="15" t="s">
        <v>695</v>
      </c>
      <c r="C391" s="15" t="s">
        <v>18</v>
      </c>
      <c r="D391" s="15" t="s">
        <v>19</v>
      </c>
      <c r="E391" s="16">
        <v>8.2899999999999991</v>
      </c>
      <c r="F391" s="15" t="s">
        <v>11</v>
      </c>
      <c r="G391" s="15">
        <v>16.579999999999998</v>
      </c>
      <c r="H391" s="17">
        <f t="shared" si="12"/>
        <v>10</v>
      </c>
      <c r="I391" s="17">
        <f>YEAR(Sheet1!$A391)</f>
        <v>2024</v>
      </c>
      <c r="J391" s="17">
        <f>DAY(Sheet1!$A391)</f>
        <v>2</v>
      </c>
      <c r="K391" s="18" t="s">
        <v>2023</v>
      </c>
      <c r="L391" s="19" t="str">
        <f t="shared" si="13"/>
        <v>Regular Customer</v>
      </c>
    </row>
    <row r="392" spans="1:12" ht="15.75" customHeight="1" x14ac:dyDescent="0.3">
      <c r="A392" s="7">
        <v>45634</v>
      </c>
      <c r="B392" s="8" t="s">
        <v>303</v>
      </c>
      <c r="C392" s="8" t="s">
        <v>24</v>
      </c>
      <c r="D392" s="8" t="s">
        <v>14</v>
      </c>
      <c r="E392" s="9">
        <v>16.649999999999999</v>
      </c>
      <c r="F392" s="8" t="s">
        <v>11</v>
      </c>
      <c r="G392" s="8">
        <v>16.649999999999999</v>
      </c>
      <c r="H392" s="10">
        <f t="shared" si="12"/>
        <v>12</v>
      </c>
      <c r="I392" s="10">
        <f>YEAR(Sheet1!$A392)</f>
        <v>2024</v>
      </c>
      <c r="J392" s="10">
        <f>DAY(Sheet1!$A392)</f>
        <v>8</v>
      </c>
      <c r="K392" s="12" t="s">
        <v>2023</v>
      </c>
      <c r="L392" s="13" t="str">
        <f t="shared" si="13"/>
        <v>Regular Customer</v>
      </c>
    </row>
    <row r="393" spans="1:12" ht="15.75" customHeight="1" x14ac:dyDescent="0.3">
      <c r="A393" s="14">
        <v>45689</v>
      </c>
      <c r="B393" s="15" t="s">
        <v>413</v>
      </c>
      <c r="C393" s="15" t="s">
        <v>8</v>
      </c>
      <c r="D393" s="15" t="s">
        <v>16</v>
      </c>
      <c r="E393" s="16">
        <v>16.77</v>
      </c>
      <c r="F393" s="15" t="s">
        <v>11</v>
      </c>
      <c r="G393" s="15">
        <v>16.77</v>
      </c>
      <c r="H393" s="17">
        <f t="shared" si="12"/>
        <v>2</v>
      </c>
      <c r="I393" s="17">
        <f>YEAR(Sheet1!$A393)</f>
        <v>2025</v>
      </c>
      <c r="J393" s="17">
        <f>DAY(Sheet1!$A393)</f>
        <v>1</v>
      </c>
      <c r="K393" s="18" t="s">
        <v>2023</v>
      </c>
      <c r="L393" s="19" t="str">
        <f t="shared" si="13"/>
        <v>Regular Customer</v>
      </c>
    </row>
    <row r="394" spans="1:12" ht="15.75" customHeight="1" x14ac:dyDescent="0.3">
      <c r="A394" s="7">
        <v>45625</v>
      </c>
      <c r="B394" s="8" t="s">
        <v>1919</v>
      </c>
      <c r="C394" s="8" t="s">
        <v>13</v>
      </c>
      <c r="D394" s="8" t="s">
        <v>16</v>
      </c>
      <c r="E394" s="9">
        <v>8.39</v>
      </c>
      <c r="F394" s="8" t="s">
        <v>10</v>
      </c>
      <c r="G394" s="8">
        <v>16.78</v>
      </c>
      <c r="H394" s="10">
        <f t="shared" si="12"/>
        <v>11</v>
      </c>
      <c r="I394" s="10">
        <f>YEAR(Sheet1!$A394)</f>
        <v>2024</v>
      </c>
      <c r="J394" s="10">
        <f>DAY(Sheet1!$A394)</f>
        <v>29</v>
      </c>
      <c r="K394" s="12" t="s">
        <v>2022</v>
      </c>
      <c r="L394" s="13" t="str">
        <f t="shared" si="13"/>
        <v>Regular Customer</v>
      </c>
    </row>
    <row r="395" spans="1:12" ht="15.75" customHeight="1" x14ac:dyDescent="0.3">
      <c r="A395" s="14">
        <v>45422</v>
      </c>
      <c r="B395" s="15" t="s">
        <v>1598</v>
      </c>
      <c r="C395" s="15" t="s">
        <v>13</v>
      </c>
      <c r="D395" s="15" t="s">
        <v>14</v>
      </c>
      <c r="E395" s="16">
        <v>16.8</v>
      </c>
      <c r="F395" s="15" t="s">
        <v>10</v>
      </c>
      <c r="G395" s="15">
        <v>16.8</v>
      </c>
      <c r="H395" s="17">
        <f t="shared" si="12"/>
        <v>5</v>
      </c>
      <c r="I395" s="17">
        <f>YEAR(Sheet1!$A395)</f>
        <v>2024</v>
      </c>
      <c r="J395" s="17">
        <f>DAY(Sheet1!$A395)</f>
        <v>10</v>
      </c>
      <c r="K395" s="18" t="s">
        <v>2022</v>
      </c>
      <c r="L395" s="19" t="str">
        <f t="shared" si="13"/>
        <v>Regular Customer</v>
      </c>
    </row>
    <row r="396" spans="1:12" ht="15.75" customHeight="1" x14ac:dyDescent="0.3">
      <c r="A396" s="7">
        <v>45469</v>
      </c>
      <c r="B396" s="8" t="s">
        <v>1774</v>
      </c>
      <c r="C396" s="8" t="s">
        <v>18</v>
      </c>
      <c r="D396" s="8" t="s">
        <v>19</v>
      </c>
      <c r="E396" s="9">
        <v>5.6</v>
      </c>
      <c r="F396" s="8" t="s">
        <v>11</v>
      </c>
      <c r="G396" s="8">
        <v>16.8</v>
      </c>
      <c r="H396" s="10">
        <f t="shared" si="12"/>
        <v>6</v>
      </c>
      <c r="I396" s="10">
        <f>YEAR(Sheet1!$A396)</f>
        <v>2024</v>
      </c>
      <c r="J396" s="10">
        <f>DAY(Sheet1!$A396)</f>
        <v>26</v>
      </c>
      <c r="K396" s="12" t="s">
        <v>2023</v>
      </c>
      <c r="L396" s="13" t="str">
        <f t="shared" si="13"/>
        <v>Regular Customer</v>
      </c>
    </row>
    <row r="397" spans="1:12" ht="15.75" customHeight="1" x14ac:dyDescent="0.3">
      <c r="A397" s="14">
        <v>45498</v>
      </c>
      <c r="B397" s="15" t="s">
        <v>22</v>
      </c>
      <c r="C397" s="15" t="s">
        <v>13</v>
      </c>
      <c r="D397" s="15" t="s">
        <v>16</v>
      </c>
      <c r="E397" s="16">
        <v>16.809999999999999</v>
      </c>
      <c r="F397" s="15" t="s">
        <v>10</v>
      </c>
      <c r="G397" s="15">
        <v>16.809999999999999</v>
      </c>
      <c r="H397" s="17">
        <f t="shared" si="12"/>
        <v>7</v>
      </c>
      <c r="I397" s="17">
        <f>YEAR(Sheet1!$A397)</f>
        <v>2024</v>
      </c>
      <c r="J397" s="17">
        <f>DAY(Sheet1!$A397)</f>
        <v>25</v>
      </c>
      <c r="K397" s="18" t="s">
        <v>2023</v>
      </c>
      <c r="L397" s="19" t="str">
        <f t="shared" si="13"/>
        <v>Regular Customer</v>
      </c>
    </row>
    <row r="398" spans="1:12" ht="15.75" customHeight="1" x14ac:dyDescent="0.3">
      <c r="A398" s="7">
        <v>45522</v>
      </c>
      <c r="B398" s="8" t="s">
        <v>1207</v>
      </c>
      <c r="C398" s="8" t="s">
        <v>8</v>
      </c>
      <c r="D398" s="8" t="s">
        <v>9</v>
      </c>
      <c r="E398" s="9">
        <v>8.41</v>
      </c>
      <c r="F398" s="8" t="s">
        <v>10</v>
      </c>
      <c r="G398" s="8">
        <v>16.82</v>
      </c>
      <c r="H398" s="10">
        <f t="shared" si="12"/>
        <v>8</v>
      </c>
      <c r="I398" s="10">
        <f>YEAR(Sheet1!$A398)</f>
        <v>2024</v>
      </c>
      <c r="J398" s="10">
        <f>DAY(Sheet1!$A398)</f>
        <v>18</v>
      </c>
      <c r="K398" s="12" t="s">
        <v>2022</v>
      </c>
      <c r="L398" s="13" t="str">
        <f t="shared" si="13"/>
        <v>Regular Customer</v>
      </c>
    </row>
    <row r="399" spans="1:12" ht="15.75" customHeight="1" x14ac:dyDescent="0.3">
      <c r="A399" s="14">
        <v>45528</v>
      </c>
      <c r="B399" s="15" t="s">
        <v>733</v>
      </c>
      <c r="C399" s="15" t="s">
        <v>8</v>
      </c>
      <c r="D399" s="15" t="s">
        <v>14</v>
      </c>
      <c r="E399" s="16">
        <v>16.84</v>
      </c>
      <c r="F399" s="15" t="s">
        <v>10</v>
      </c>
      <c r="G399" s="15">
        <v>16.84</v>
      </c>
      <c r="H399" s="17">
        <f t="shared" si="12"/>
        <v>8</v>
      </c>
      <c r="I399" s="17">
        <f>YEAR(Sheet1!$A399)</f>
        <v>2024</v>
      </c>
      <c r="J399" s="17">
        <f>DAY(Sheet1!$A399)</f>
        <v>24</v>
      </c>
      <c r="K399" s="18" t="s">
        <v>2023</v>
      </c>
      <c r="L399" s="19" t="str">
        <f t="shared" si="13"/>
        <v>Regular Customer</v>
      </c>
    </row>
    <row r="400" spans="1:12" ht="15.75" customHeight="1" x14ac:dyDescent="0.3">
      <c r="A400" s="7">
        <v>45547</v>
      </c>
      <c r="B400" s="8" t="s">
        <v>1772</v>
      </c>
      <c r="C400" s="8" t="s">
        <v>18</v>
      </c>
      <c r="D400" s="8" t="s">
        <v>16</v>
      </c>
      <c r="E400" s="9">
        <v>16.89</v>
      </c>
      <c r="F400" s="8" t="s">
        <v>11</v>
      </c>
      <c r="G400" s="8">
        <v>16.89</v>
      </c>
      <c r="H400" s="10">
        <f t="shared" si="12"/>
        <v>9</v>
      </c>
      <c r="I400" s="10">
        <f>YEAR(Sheet1!$A400)</f>
        <v>2024</v>
      </c>
      <c r="J400" s="10">
        <f>DAY(Sheet1!$A400)</f>
        <v>12</v>
      </c>
      <c r="K400" s="12" t="s">
        <v>2022</v>
      </c>
      <c r="L400" s="13" t="str">
        <f t="shared" si="13"/>
        <v>Regular Customer</v>
      </c>
    </row>
    <row r="401" spans="1:12" ht="15.75" customHeight="1" x14ac:dyDescent="0.3">
      <c r="A401" s="14">
        <v>45652</v>
      </c>
      <c r="B401" s="15" t="s">
        <v>340</v>
      </c>
      <c r="C401" s="15" t="s">
        <v>24</v>
      </c>
      <c r="D401" s="15" t="s">
        <v>19</v>
      </c>
      <c r="E401" s="16">
        <v>5.63</v>
      </c>
      <c r="F401" s="15" t="s">
        <v>11</v>
      </c>
      <c r="G401" s="15">
        <v>16.89</v>
      </c>
      <c r="H401" s="17">
        <f t="shared" si="12"/>
        <v>12</v>
      </c>
      <c r="I401" s="17">
        <f>YEAR(Sheet1!$A401)</f>
        <v>2024</v>
      </c>
      <c r="J401" s="17">
        <f>DAY(Sheet1!$A401)</f>
        <v>26</v>
      </c>
      <c r="K401" s="18" t="s">
        <v>2023</v>
      </c>
      <c r="L401" s="19" t="str">
        <f t="shared" si="13"/>
        <v>Regular Customer</v>
      </c>
    </row>
    <row r="402" spans="1:12" ht="15.75" customHeight="1" x14ac:dyDescent="0.3">
      <c r="A402" s="7">
        <v>45652</v>
      </c>
      <c r="B402" s="8" t="s">
        <v>668</v>
      </c>
      <c r="C402" s="8" t="s">
        <v>18</v>
      </c>
      <c r="D402" s="8" t="s">
        <v>9</v>
      </c>
      <c r="E402" s="9">
        <v>5.63</v>
      </c>
      <c r="F402" s="8" t="s">
        <v>10</v>
      </c>
      <c r="G402" s="8">
        <v>16.89</v>
      </c>
      <c r="H402" s="10">
        <f t="shared" si="12"/>
        <v>12</v>
      </c>
      <c r="I402" s="10">
        <f>YEAR(Sheet1!$A402)</f>
        <v>2024</v>
      </c>
      <c r="J402" s="10">
        <f>DAY(Sheet1!$A402)</f>
        <v>26</v>
      </c>
      <c r="K402" s="12" t="s">
        <v>2022</v>
      </c>
      <c r="L402" s="13" t="str">
        <f t="shared" si="13"/>
        <v>Regular Customer</v>
      </c>
    </row>
    <row r="403" spans="1:12" ht="15.75" customHeight="1" x14ac:dyDescent="0.3">
      <c r="A403" s="14">
        <v>45702</v>
      </c>
      <c r="B403" s="15" t="s">
        <v>973</v>
      </c>
      <c r="C403" s="15" t="s">
        <v>8</v>
      </c>
      <c r="D403" s="15" t="s">
        <v>16</v>
      </c>
      <c r="E403" s="16">
        <v>8.4600000000000009</v>
      </c>
      <c r="F403" s="15" t="s">
        <v>11</v>
      </c>
      <c r="G403" s="15">
        <v>16.920000000000002</v>
      </c>
      <c r="H403" s="17">
        <f t="shared" si="12"/>
        <v>2</v>
      </c>
      <c r="I403" s="17">
        <f>YEAR(Sheet1!$A403)</f>
        <v>2025</v>
      </c>
      <c r="J403" s="17">
        <f>DAY(Sheet1!$A403)</f>
        <v>14</v>
      </c>
      <c r="K403" s="18" t="s">
        <v>2022</v>
      </c>
      <c r="L403" s="19" t="str">
        <f t="shared" si="13"/>
        <v>Regular Customer</v>
      </c>
    </row>
    <row r="404" spans="1:12" ht="15.75" customHeight="1" x14ac:dyDescent="0.3">
      <c r="A404" s="7">
        <v>45526</v>
      </c>
      <c r="B404" s="8" t="s">
        <v>1185</v>
      </c>
      <c r="C404" s="8" t="s">
        <v>18</v>
      </c>
      <c r="D404" s="8" t="s">
        <v>19</v>
      </c>
      <c r="E404" s="9">
        <v>16.93</v>
      </c>
      <c r="F404" s="8" t="s">
        <v>10</v>
      </c>
      <c r="G404" s="8">
        <v>16.93</v>
      </c>
      <c r="H404" s="10">
        <f t="shared" si="12"/>
        <v>8</v>
      </c>
      <c r="I404" s="10">
        <f>YEAR(Sheet1!$A404)</f>
        <v>2024</v>
      </c>
      <c r="J404" s="10">
        <f>DAY(Sheet1!$A404)</f>
        <v>22</v>
      </c>
      <c r="K404" s="12" t="s">
        <v>2023</v>
      </c>
      <c r="L404" s="13" t="str">
        <f t="shared" si="13"/>
        <v>Regular Customer</v>
      </c>
    </row>
    <row r="405" spans="1:12" ht="15.75" customHeight="1" x14ac:dyDescent="0.3">
      <c r="A405" s="14">
        <v>45616</v>
      </c>
      <c r="B405" s="15" t="s">
        <v>794</v>
      </c>
      <c r="C405" s="15" t="s">
        <v>13</v>
      </c>
      <c r="D405" s="15" t="s">
        <v>9</v>
      </c>
      <c r="E405" s="16">
        <v>8.4700000000000006</v>
      </c>
      <c r="F405" s="15" t="s">
        <v>11</v>
      </c>
      <c r="G405" s="15">
        <v>16.940000000000001</v>
      </c>
      <c r="H405" s="17">
        <f t="shared" si="12"/>
        <v>11</v>
      </c>
      <c r="I405" s="17">
        <f>YEAR(Sheet1!$A405)</f>
        <v>2024</v>
      </c>
      <c r="J405" s="17">
        <f>DAY(Sheet1!$A405)</f>
        <v>20</v>
      </c>
      <c r="K405" s="18" t="s">
        <v>2022</v>
      </c>
      <c r="L405" s="19" t="str">
        <f t="shared" si="13"/>
        <v>Regular Customer</v>
      </c>
    </row>
    <row r="406" spans="1:12" ht="15.75" customHeight="1" x14ac:dyDescent="0.3">
      <c r="A406" s="7">
        <v>45582</v>
      </c>
      <c r="B406" s="8" t="s">
        <v>634</v>
      </c>
      <c r="C406" s="8" t="s">
        <v>24</v>
      </c>
      <c r="D406" s="8" t="s">
        <v>9</v>
      </c>
      <c r="E406" s="9">
        <v>16.95</v>
      </c>
      <c r="F406" s="8" t="s">
        <v>11</v>
      </c>
      <c r="G406" s="8">
        <v>16.95</v>
      </c>
      <c r="H406" s="10">
        <f t="shared" si="12"/>
        <v>10</v>
      </c>
      <c r="I406" s="10">
        <f>YEAR(Sheet1!$A406)</f>
        <v>2024</v>
      </c>
      <c r="J406" s="10">
        <f>DAY(Sheet1!$A406)</f>
        <v>17</v>
      </c>
      <c r="K406" s="12" t="s">
        <v>2022</v>
      </c>
      <c r="L406" s="13" t="str">
        <f t="shared" si="13"/>
        <v>Regular Customer</v>
      </c>
    </row>
    <row r="407" spans="1:12" ht="15.75" customHeight="1" x14ac:dyDescent="0.3">
      <c r="A407" s="14">
        <v>45631</v>
      </c>
      <c r="B407" s="15" t="s">
        <v>984</v>
      </c>
      <c r="C407" s="15" t="s">
        <v>13</v>
      </c>
      <c r="D407" s="15" t="s">
        <v>16</v>
      </c>
      <c r="E407" s="16">
        <v>16.95</v>
      </c>
      <c r="F407" s="15" t="s">
        <v>10</v>
      </c>
      <c r="G407" s="15">
        <v>16.95</v>
      </c>
      <c r="H407" s="17">
        <f t="shared" si="12"/>
        <v>12</v>
      </c>
      <c r="I407" s="17">
        <f>YEAR(Sheet1!$A407)</f>
        <v>2024</v>
      </c>
      <c r="J407" s="17">
        <f>DAY(Sheet1!$A407)</f>
        <v>5</v>
      </c>
      <c r="K407" s="18" t="s">
        <v>2022</v>
      </c>
      <c r="L407" s="19" t="str">
        <f t="shared" si="13"/>
        <v>Regular Customer</v>
      </c>
    </row>
    <row r="408" spans="1:12" ht="15.75" customHeight="1" x14ac:dyDescent="0.3">
      <c r="A408" s="7">
        <v>45459</v>
      </c>
      <c r="B408" s="8" t="s">
        <v>978</v>
      </c>
      <c r="C408" s="8" t="s">
        <v>18</v>
      </c>
      <c r="D408" s="8" t="s">
        <v>16</v>
      </c>
      <c r="E408" s="9">
        <v>16.96</v>
      </c>
      <c r="F408" s="8" t="s">
        <v>11</v>
      </c>
      <c r="G408" s="8">
        <v>16.96</v>
      </c>
      <c r="H408" s="10">
        <f t="shared" si="12"/>
        <v>6</v>
      </c>
      <c r="I408" s="10">
        <f>YEAR(Sheet1!$A408)</f>
        <v>2024</v>
      </c>
      <c r="J408" s="10">
        <f>DAY(Sheet1!$A408)</f>
        <v>16</v>
      </c>
      <c r="K408" s="12" t="s">
        <v>2022</v>
      </c>
      <c r="L408" s="13" t="str">
        <f t="shared" si="13"/>
        <v>Regular Customer</v>
      </c>
    </row>
    <row r="409" spans="1:12" ht="15.75" customHeight="1" x14ac:dyDescent="0.3">
      <c r="A409" s="14">
        <v>45516</v>
      </c>
      <c r="B409" s="15" t="s">
        <v>363</v>
      </c>
      <c r="C409" s="15" t="s">
        <v>24</v>
      </c>
      <c r="D409" s="15" t="s">
        <v>16</v>
      </c>
      <c r="E409" s="16">
        <v>8.48</v>
      </c>
      <c r="F409" s="15" t="s">
        <v>11</v>
      </c>
      <c r="G409" s="15">
        <v>16.96</v>
      </c>
      <c r="H409" s="17">
        <f t="shared" si="12"/>
        <v>8</v>
      </c>
      <c r="I409" s="17">
        <f>YEAR(Sheet1!$A409)</f>
        <v>2024</v>
      </c>
      <c r="J409" s="17">
        <f>DAY(Sheet1!$A409)</f>
        <v>12</v>
      </c>
      <c r="K409" s="18" t="s">
        <v>2023</v>
      </c>
      <c r="L409" s="19" t="str">
        <f t="shared" si="13"/>
        <v>Regular Customer</v>
      </c>
    </row>
    <row r="410" spans="1:12" ht="15.75" customHeight="1" x14ac:dyDescent="0.3">
      <c r="A410" s="7">
        <v>45432</v>
      </c>
      <c r="B410" s="8" t="s">
        <v>1001</v>
      </c>
      <c r="C410" s="8" t="s">
        <v>13</v>
      </c>
      <c r="D410" s="8" t="s">
        <v>9</v>
      </c>
      <c r="E410" s="9">
        <v>8.49</v>
      </c>
      <c r="F410" s="8" t="s">
        <v>10</v>
      </c>
      <c r="G410" s="8">
        <v>16.98</v>
      </c>
      <c r="H410" s="10">
        <f t="shared" si="12"/>
        <v>5</v>
      </c>
      <c r="I410" s="10">
        <f>YEAR(Sheet1!$A410)</f>
        <v>2024</v>
      </c>
      <c r="J410" s="10">
        <f>DAY(Sheet1!$A410)</f>
        <v>20</v>
      </c>
      <c r="K410" s="12" t="s">
        <v>2023</v>
      </c>
      <c r="L410" s="13" t="str">
        <f t="shared" si="13"/>
        <v>Regular Customer</v>
      </c>
    </row>
    <row r="411" spans="1:12" ht="15.75" customHeight="1" x14ac:dyDescent="0.3">
      <c r="A411" s="14">
        <v>45743</v>
      </c>
      <c r="B411" s="15" t="s">
        <v>1653</v>
      </c>
      <c r="C411" s="15" t="s">
        <v>18</v>
      </c>
      <c r="D411" s="15" t="s">
        <v>9</v>
      </c>
      <c r="E411" s="16">
        <v>17.02</v>
      </c>
      <c r="F411" s="15" t="s">
        <v>10</v>
      </c>
      <c r="G411" s="15">
        <v>17.02</v>
      </c>
      <c r="H411" s="17">
        <f t="shared" si="12"/>
        <v>3</v>
      </c>
      <c r="I411" s="17">
        <f>YEAR(Sheet1!$A411)</f>
        <v>2025</v>
      </c>
      <c r="J411" s="17">
        <f>DAY(Sheet1!$A411)</f>
        <v>27</v>
      </c>
      <c r="K411" s="18" t="s">
        <v>2022</v>
      </c>
      <c r="L411" s="19" t="str">
        <f t="shared" si="13"/>
        <v>Regular Customer</v>
      </c>
    </row>
    <row r="412" spans="1:12" ht="15.75" customHeight="1" x14ac:dyDescent="0.3">
      <c r="A412" s="7">
        <v>45539</v>
      </c>
      <c r="B412" s="8" t="s">
        <v>69</v>
      </c>
      <c r="C412" s="8" t="s">
        <v>8</v>
      </c>
      <c r="D412" s="8" t="s">
        <v>19</v>
      </c>
      <c r="E412" s="9">
        <v>17.03</v>
      </c>
      <c r="F412" s="8" t="s">
        <v>10</v>
      </c>
      <c r="G412" s="8">
        <v>17.03</v>
      </c>
      <c r="H412" s="10">
        <f t="shared" si="12"/>
        <v>9</v>
      </c>
      <c r="I412" s="10">
        <f>YEAR(Sheet1!$A412)</f>
        <v>2024</v>
      </c>
      <c r="J412" s="10">
        <f>DAY(Sheet1!$A412)</f>
        <v>4</v>
      </c>
      <c r="K412" s="12" t="s">
        <v>2023</v>
      </c>
      <c r="L412" s="13" t="str">
        <f t="shared" si="13"/>
        <v>Regular Customer</v>
      </c>
    </row>
    <row r="413" spans="1:12" ht="15.75" customHeight="1" x14ac:dyDescent="0.3">
      <c r="A413" s="14">
        <v>45527</v>
      </c>
      <c r="B413" s="15" t="s">
        <v>389</v>
      </c>
      <c r="C413" s="15" t="s">
        <v>18</v>
      </c>
      <c r="D413" s="15" t="s">
        <v>9</v>
      </c>
      <c r="E413" s="16">
        <v>17.05</v>
      </c>
      <c r="F413" s="15" t="s">
        <v>10</v>
      </c>
      <c r="G413" s="15">
        <v>17.05</v>
      </c>
      <c r="H413" s="17">
        <f t="shared" si="12"/>
        <v>8</v>
      </c>
      <c r="I413" s="17">
        <f>YEAR(Sheet1!$A413)</f>
        <v>2024</v>
      </c>
      <c r="J413" s="17">
        <f>DAY(Sheet1!$A413)</f>
        <v>23</v>
      </c>
      <c r="K413" s="18" t="s">
        <v>2022</v>
      </c>
      <c r="L413" s="19" t="str">
        <f t="shared" si="13"/>
        <v>Regular Customer</v>
      </c>
    </row>
    <row r="414" spans="1:12" ht="15.75" customHeight="1" x14ac:dyDescent="0.3">
      <c r="A414" s="7">
        <v>45470</v>
      </c>
      <c r="B414" s="8" t="s">
        <v>1537</v>
      </c>
      <c r="C414" s="8" t="s">
        <v>13</v>
      </c>
      <c r="D414" s="8" t="s">
        <v>9</v>
      </c>
      <c r="E414" s="9">
        <v>8.5399999999999991</v>
      </c>
      <c r="F414" s="8" t="s">
        <v>11</v>
      </c>
      <c r="G414" s="8">
        <v>17.079999999999998</v>
      </c>
      <c r="H414" s="10">
        <f t="shared" si="12"/>
        <v>6</v>
      </c>
      <c r="I414" s="10">
        <f>YEAR(Sheet1!$A414)</f>
        <v>2024</v>
      </c>
      <c r="J414" s="10">
        <f>DAY(Sheet1!$A414)</f>
        <v>27</v>
      </c>
      <c r="K414" s="12" t="s">
        <v>2023</v>
      </c>
      <c r="L414" s="13" t="str">
        <f t="shared" si="13"/>
        <v>Regular Customer</v>
      </c>
    </row>
    <row r="415" spans="1:12" ht="15.75" customHeight="1" x14ac:dyDescent="0.3">
      <c r="A415" s="14">
        <v>45434</v>
      </c>
      <c r="B415" s="15" t="s">
        <v>1179</v>
      </c>
      <c r="C415" s="15" t="s">
        <v>18</v>
      </c>
      <c r="D415" s="15" t="s">
        <v>19</v>
      </c>
      <c r="E415" s="16">
        <v>8.5500000000000007</v>
      </c>
      <c r="F415" s="15" t="s">
        <v>11</v>
      </c>
      <c r="G415" s="15">
        <v>17.100000000000001</v>
      </c>
      <c r="H415" s="17">
        <f t="shared" si="12"/>
        <v>5</v>
      </c>
      <c r="I415" s="17">
        <f>YEAR(Sheet1!$A415)</f>
        <v>2024</v>
      </c>
      <c r="J415" s="17">
        <f>DAY(Sheet1!$A415)</f>
        <v>22</v>
      </c>
      <c r="K415" s="18" t="s">
        <v>2023</v>
      </c>
      <c r="L415" s="19" t="str">
        <f t="shared" si="13"/>
        <v>Regular Customer</v>
      </c>
    </row>
    <row r="416" spans="1:12" ht="15.75" customHeight="1" x14ac:dyDescent="0.3">
      <c r="A416" s="7">
        <v>45506</v>
      </c>
      <c r="B416" s="8" t="s">
        <v>530</v>
      </c>
      <c r="C416" s="8" t="s">
        <v>8</v>
      </c>
      <c r="D416" s="8" t="s">
        <v>14</v>
      </c>
      <c r="E416" s="9">
        <v>17.100000000000001</v>
      </c>
      <c r="F416" s="8" t="s">
        <v>11</v>
      </c>
      <c r="G416" s="8">
        <v>17.100000000000001</v>
      </c>
      <c r="H416" s="10">
        <f t="shared" si="12"/>
        <v>8</v>
      </c>
      <c r="I416" s="10">
        <f>YEAR(Sheet1!$A416)</f>
        <v>2024</v>
      </c>
      <c r="J416" s="10">
        <f>DAY(Sheet1!$A416)</f>
        <v>2</v>
      </c>
      <c r="K416" s="12" t="s">
        <v>2022</v>
      </c>
      <c r="L416" s="13" t="str">
        <f t="shared" si="13"/>
        <v>Regular Customer</v>
      </c>
    </row>
    <row r="417" spans="1:12" ht="15.75" customHeight="1" x14ac:dyDescent="0.3">
      <c r="A417" s="14">
        <v>45619</v>
      </c>
      <c r="B417" s="15" t="s">
        <v>1160</v>
      </c>
      <c r="C417" s="15" t="s">
        <v>13</v>
      </c>
      <c r="D417" s="15" t="s">
        <v>19</v>
      </c>
      <c r="E417" s="16">
        <v>17.11</v>
      </c>
      <c r="F417" s="15" t="s">
        <v>10</v>
      </c>
      <c r="G417" s="15">
        <v>17.11</v>
      </c>
      <c r="H417" s="17">
        <f t="shared" si="12"/>
        <v>11</v>
      </c>
      <c r="I417" s="17">
        <f>YEAR(Sheet1!$A417)</f>
        <v>2024</v>
      </c>
      <c r="J417" s="17">
        <f>DAY(Sheet1!$A417)</f>
        <v>23</v>
      </c>
      <c r="K417" s="18" t="s">
        <v>2023</v>
      </c>
      <c r="L417" s="19" t="str">
        <f t="shared" si="13"/>
        <v>Regular Customer</v>
      </c>
    </row>
    <row r="418" spans="1:12" ht="15.75" customHeight="1" x14ac:dyDescent="0.3">
      <c r="A418" s="7">
        <v>45758</v>
      </c>
      <c r="B418" s="8" t="s">
        <v>335</v>
      </c>
      <c r="C418" s="8" t="s">
        <v>8</v>
      </c>
      <c r="D418" s="8" t="s">
        <v>16</v>
      </c>
      <c r="E418" s="9">
        <v>17.11</v>
      </c>
      <c r="F418" s="8" t="s">
        <v>10</v>
      </c>
      <c r="G418" s="8">
        <v>17.11</v>
      </c>
      <c r="H418" s="10">
        <f t="shared" si="12"/>
        <v>4</v>
      </c>
      <c r="I418" s="10">
        <f>YEAR(Sheet1!$A418)</f>
        <v>2025</v>
      </c>
      <c r="J418" s="10">
        <f>DAY(Sheet1!$A418)</f>
        <v>11</v>
      </c>
      <c r="K418" s="12" t="s">
        <v>2022</v>
      </c>
      <c r="L418" s="13" t="str">
        <f t="shared" si="13"/>
        <v>Regular Customer</v>
      </c>
    </row>
    <row r="419" spans="1:12" ht="15.75" customHeight="1" x14ac:dyDescent="0.3">
      <c r="A419" s="14">
        <v>45712</v>
      </c>
      <c r="B419" s="15" t="s">
        <v>254</v>
      </c>
      <c r="C419" s="15" t="s">
        <v>18</v>
      </c>
      <c r="D419" s="15" t="s">
        <v>14</v>
      </c>
      <c r="E419" s="16">
        <v>17.13</v>
      </c>
      <c r="F419" s="15" t="s">
        <v>10</v>
      </c>
      <c r="G419" s="15">
        <v>17.13</v>
      </c>
      <c r="H419" s="17">
        <f t="shared" si="12"/>
        <v>2</v>
      </c>
      <c r="I419" s="17">
        <f>YEAR(Sheet1!$A419)</f>
        <v>2025</v>
      </c>
      <c r="J419" s="17">
        <f>DAY(Sheet1!$A419)</f>
        <v>24</v>
      </c>
      <c r="K419" s="18" t="s">
        <v>2022</v>
      </c>
      <c r="L419" s="19" t="str">
        <f t="shared" si="13"/>
        <v>Regular Customer</v>
      </c>
    </row>
    <row r="420" spans="1:12" ht="15.75" customHeight="1" x14ac:dyDescent="0.3">
      <c r="A420" s="7">
        <v>45423</v>
      </c>
      <c r="B420" s="8" t="s">
        <v>1477</v>
      </c>
      <c r="C420" s="8" t="s">
        <v>13</v>
      </c>
      <c r="D420" s="8" t="s">
        <v>19</v>
      </c>
      <c r="E420" s="9">
        <v>17.21</v>
      </c>
      <c r="F420" s="8" t="s">
        <v>11</v>
      </c>
      <c r="G420" s="8">
        <v>17.21</v>
      </c>
      <c r="H420" s="10">
        <f t="shared" si="12"/>
        <v>5</v>
      </c>
      <c r="I420" s="10">
        <f>YEAR(Sheet1!$A420)</f>
        <v>2024</v>
      </c>
      <c r="J420" s="10">
        <f>DAY(Sheet1!$A420)</f>
        <v>11</v>
      </c>
      <c r="K420" s="12" t="s">
        <v>2023</v>
      </c>
      <c r="L420" s="13" t="str">
        <f t="shared" si="13"/>
        <v>Regular Customer</v>
      </c>
    </row>
    <row r="421" spans="1:12" ht="15.75" customHeight="1" x14ac:dyDescent="0.3">
      <c r="A421" s="14">
        <v>45696</v>
      </c>
      <c r="B421" s="15" t="s">
        <v>682</v>
      </c>
      <c r="C421" s="15" t="s">
        <v>18</v>
      </c>
      <c r="D421" s="15" t="s">
        <v>14</v>
      </c>
      <c r="E421" s="16">
        <v>5.74</v>
      </c>
      <c r="F421" s="15" t="s">
        <v>10</v>
      </c>
      <c r="G421" s="15">
        <v>17.22</v>
      </c>
      <c r="H421" s="17">
        <f t="shared" si="12"/>
        <v>2</v>
      </c>
      <c r="I421" s="17">
        <f>YEAR(Sheet1!$A421)</f>
        <v>2025</v>
      </c>
      <c r="J421" s="17">
        <f>DAY(Sheet1!$A421)</f>
        <v>8</v>
      </c>
      <c r="K421" s="18" t="s">
        <v>2022</v>
      </c>
      <c r="L421" s="19" t="str">
        <f t="shared" si="13"/>
        <v>Regular Customer</v>
      </c>
    </row>
    <row r="422" spans="1:12" ht="15.75" customHeight="1" x14ac:dyDescent="0.3">
      <c r="A422" s="7">
        <v>45747</v>
      </c>
      <c r="B422" s="8" t="s">
        <v>1865</v>
      </c>
      <c r="C422" s="8" t="s">
        <v>13</v>
      </c>
      <c r="D422" s="8" t="s">
        <v>19</v>
      </c>
      <c r="E422" s="9">
        <v>17.22</v>
      </c>
      <c r="F422" s="8" t="s">
        <v>11</v>
      </c>
      <c r="G422" s="8">
        <v>17.22</v>
      </c>
      <c r="H422" s="10">
        <f t="shared" si="12"/>
        <v>3</v>
      </c>
      <c r="I422" s="10">
        <f>YEAR(Sheet1!$A422)</f>
        <v>2025</v>
      </c>
      <c r="J422" s="10">
        <f>DAY(Sheet1!$A422)</f>
        <v>31</v>
      </c>
      <c r="K422" s="12" t="s">
        <v>2023</v>
      </c>
      <c r="L422" s="13" t="str">
        <f t="shared" si="13"/>
        <v>Regular Customer</v>
      </c>
    </row>
    <row r="423" spans="1:12" ht="15.75" customHeight="1" x14ac:dyDescent="0.3">
      <c r="A423" s="14">
        <v>45560</v>
      </c>
      <c r="B423" s="15" t="s">
        <v>1883</v>
      </c>
      <c r="C423" s="15" t="s">
        <v>24</v>
      </c>
      <c r="D423" s="15" t="s">
        <v>19</v>
      </c>
      <c r="E423" s="16">
        <v>17.23</v>
      </c>
      <c r="F423" s="15" t="s">
        <v>11</v>
      </c>
      <c r="G423" s="15">
        <v>17.23</v>
      </c>
      <c r="H423" s="17">
        <f t="shared" si="12"/>
        <v>9</v>
      </c>
      <c r="I423" s="17">
        <f>YEAR(Sheet1!$A423)</f>
        <v>2024</v>
      </c>
      <c r="J423" s="17">
        <f>DAY(Sheet1!$A423)</f>
        <v>25</v>
      </c>
      <c r="K423" s="18" t="s">
        <v>2023</v>
      </c>
      <c r="L423" s="19" t="str">
        <f t="shared" si="13"/>
        <v>Regular Customer</v>
      </c>
    </row>
    <row r="424" spans="1:12" ht="15.75" customHeight="1" x14ac:dyDescent="0.3">
      <c r="A424" s="7">
        <v>45777</v>
      </c>
      <c r="B424" s="8" t="s">
        <v>1019</v>
      </c>
      <c r="C424" s="8" t="s">
        <v>8</v>
      </c>
      <c r="D424" s="8" t="s">
        <v>19</v>
      </c>
      <c r="E424" s="9">
        <v>17.29</v>
      </c>
      <c r="F424" s="8" t="s">
        <v>11</v>
      </c>
      <c r="G424" s="8">
        <v>17.29</v>
      </c>
      <c r="H424" s="10">
        <f t="shared" si="12"/>
        <v>4</v>
      </c>
      <c r="I424" s="10">
        <f>YEAR(Sheet1!$A424)</f>
        <v>2025</v>
      </c>
      <c r="J424" s="10">
        <f>DAY(Sheet1!$A424)</f>
        <v>30</v>
      </c>
      <c r="K424" s="12" t="s">
        <v>2022</v>
      </c>
      <c r="L424" s="13" t="str">
        <f t="shared" si="13"/>
        <v>Regular Customer</v>
      </c>
    </row>
    <row r="425" spans="1:12" ht="15.75" customHeight="1" x14ac:dyDescent="0.3">
      <c r="A425" s="14">
        <v>45428</v>
      </c>
      <c r="B425" s="15" t="s">
        <v>1307</v>
      </c>
      <c r="C425" s="15" t="s">
        <v>18</v>
      </c>
      <c r="D425" s="15" t="s">
        <v>19</v>
      </c>
      <c r="E425" s="16">
        <v>8.65</v>
      </c>
      <c r="F425" s="15" t="s">
        <v>11</v>
      </c>
      <c r="G425" s="15">
        <v>17.3</v>
      </c>
      <c r="H425" s="17">
        <f t="shared" si="12"/>
        <v>5</v>
      </c>
      <c r="I425" s="17">
        <f>YEAR(Sheet1!$A425)</f>
        <v>2024</v>
      </c>
      <c r="J425" s="17">
        <f>DAY(Sheet1!$A425)</f>
        <v>16</v>
      </c>
      <c r="K425" s="18" t="s">
        <v>2023</v>
      </c>
      <c r="L425" s="19" t="str">
        <f t="shared" si="13"/>
        <v>Regular Customer</v>
      </c>
    </row>
    <row r="426" spans="1:12" ht="15.75" customHeight="1" x14ac:dyDescent="0.3">
      <c r="A426" s="7">
        <v>45521</v>
      </c>
      <c r="B426" s="8" t="s">
        <v>1959</v>
      </c>
      <c r="C426" s="8" t="s">
        <v>13</v>
      </c>
      <c r="D426" s="8" t="s">
        <v>16</v>
      </c>
      <c r="E426" s="9">
        <v>17.3</v>
      </c>
      <c r="F426" s="8" t="s">
        <v>10</v>
      </c>
      <c r="G426" s="8">
        <v>17.3</v>
      </c>
      <c r="H426" s="10">
        <f t="shared" si="12"/>
        <v>8</v>
      </c>
      <c r="I426" s="10">
        <f>YEAR(Sheet1!$A426)</f>
        <v>2024</v>
      </c>
      <c r="J426" s="10">
        <f>DAY(Sheet1!$A426)</f>
        <v>17</v>
      </c>
      <c r="K426" s="12" t="s">
        <v>2022</v>
      </c>
      <c r="L426" s="13" t="str">
        <f t="shared" si="13"/>
        <v>Regular Customer</v>
      </c>
    </row>
    <row r="427" spans="1:12" ht="15.75" customHeight="1" x14ac:dyDescent="0.3">
      <c r="A427" s="14">
        <v>45511</v>
      </c>
      <c r="B427" s="15" t="s">
        <v>370</v>
      </c>
      <c r="C427" s="15" t="s">
        <v>18</v>
      </c>
      <c r="D427" s="15" t="s">
        <v>19</v>
      </c>
      <c r="E427" s="16">
        <v>8.66</v>
      </c>
      <c r="F427" s="15" t="s">
        <v>11</v>
      </c>
      <c r="G427" s="15">
        <v>17.32</v>
      </c>
      <c r="H427" s="17">
        <f t="shared" si="12"/>
        <v>8</v>
      </c>
      <c r="I427" s="17">
        <f>YEAR(Sheet1!$A427)</f>
        <v>2024</v>
      </c>
      <c r="J427" s="17">
        <f>DAY(Sheet1!$A427)</f>
        <v>7</v>
      </c>
      <c r="K427" s="18" t="s">
        <v>2022</v>
      </c>
      <c r="L427" s="19" t="str">
        <f t="shared" si="13"/>
        <v>Regular Customer</v>
      </c>
    </row>
    <row r="428" spans="1:12" ht="15.75" customHeight="1" x14ac:dyDescent="0.3">
      <c r="A428" s="7">
        <v>45549</v>
      </c>
      <c r="B428" s="8" t="s">
        <v>555</v>
      </c>
      <c r="C428" s="8" t="s">
        <v>18</v>
      </c>
      <c r="D428" s="8" t="s">
        <v>19</v>
      </c>
      <c r="E428" s="9">
        <v>8.67</v>
      </c>
      <c r="F428" s="8" t="s">
        <v>11</v>
      </c>
      <c r="G428" s="8">
        <v>17.34</v>
      </c>
      <c r="H428" s="10">
        <f t="shared" si="12"/>
        <v>9</v>
      </c>
      <c r="I428" s="10">
        <f>YEAR(Sheet1!$A428)</f>
        <v>2024</v>
      </c>
      <c r="J428" s="10">
        <f>DAY(Sheet1!$A428)</f>
        <v>14</v>
      </c>
      <c r="K428" s="12" t="s">
        <v>2022</v>
      </c>
      <c r="L428" s="13" t="str">
        <f t="shared" si="13"/>
        <v>Regular Customer</v>
      </c>
    </row>
    <row r="429" spans="1:12" ht="15.75" customHeight="1" x14ac:dyDescent="0.3">
      <c r="A429" s="14">
        <v>45740</v>
      </c>
      <c r="B429" s="15" t="s">
        <v>1587</v>
      </c>
      <c r="C429" s="15" t="s">
        <v>24</v>
      </c>
      <c r="D429" s="15" t="s">
        <v>19</v>
      </c>
      <c r="E429" s="16">
        <v>8.67</v>
      </c>
      <c r="F429" s="15" t="s">
        <v>10</v>
      </c>
      <c r="G429" s="15">
        <v>17.34</v>
      </c>
      <c r="H429" s="17">
        <f t="shared" si="12"/>
        <v>3</v>
      </c>
      <c r="I429" s="17">
        <f>YEAR(Sheet1!$A429)</f>
        <v>2025</v>
      </c>
      <c r="J429" s="17">
        <f>DAY(Sheet1!$A429)</f>
        <v>24</v>
      </c>
      <c r="K429" s="18" t="s">
        <v>2022</v>
      </c>
      <c r="L429" s="19" t="str">
        <f t="shared" si="13"/>
        <v>Regular Customer</v>
      </c>
    </row>
    <row r="430" spans="1:12" ht="15.75" customHeight="1" x14ac:dyDescent="0.3">
      <c r="A430" s="7">
        <v>45700</v>
      </c>
      <c r="B430" s="8" t="s">
        <v>1834</v>
      </c>
      <c r="C430" s="8" t="s">
        <v>8</v>
      </c>
      <c r="D430" s="8" t="s">
        <v>9</v>
      </c>
      <c r="E430" s="9">
        <v>17.36</v>
      </c>
      <c r="F430" s="8" t="s">
        <v>11</v>
      </c>
      <c r="G430" s="8">
        <v>17.36</v>
      </c>
      <c r="H430" s="10">
        <f t="shared" si="12"/>
        <v>2</v>
      </c>
      <c r="I430" s="10">
        <f>YEAR(Sheet1!$A430)</f>
        <v>2025</v>
      </c>
      <c r="J430" s="10">
        <f>DAY(Sheet1!$A430)</f>
        <v>12</v>
      </c>
      <c r="K430" s="12" t="s">
        <v>2022</v>
      </c>
      <c r="L430" s="13" t="str">
        <f t="shared" si="13"/>
        <v>Regular Customer</v>
      </c>
    </row>
    <row r="431" spans="1:12" ht="15.75" customHeight="1" x14ac:dyDescent="0.3">
      <c r="A431" s="14">
        <v>45436</v>
      </c>
      <c r="B431" s="15" t="s">
        <v>692</v>
      </c>
      <c r="C431" s="15" t="s">
        <v>13</v>
      </c>
      <c r="D431" s="15" t="s">
        <v>16</v>
      </c>
      <c r="E431" s="16">
        <v>8.6999999999999993</v>
      </c>
      <c r="F431" s="15" t="s">
        <v>11</v>
      </c>
      <c r="G431" s="15">
        <v>17.399999999999999</v>
      </c>
      <c r="H431" s="17">
        <f t="shared" si="12"/>
        <v>5</v>
      </c>
      <c r="I431" s="17">
        <f>YEAR(Sheet1!$A431)</f>
        <v>2024</v>
      </c>
      <c r="J431" s="17">
        <f>DAY(Sheet1!$A431)</f>
        <v>24</v>
      </c>
      <c r="K431" s="18" t="s">
        <v>2023</v>
      </c>
      <c r="L431" s="19" t="str">
        <f t="shared" si="13"/>
        <v>Regular Customer</v>
      </c>
    </row>
    <row r="432" spans="1:12" ht="15.75" customHeight="1" x14ac:dyDescent="0.3">
      <c r="A432" s="7">
        <v>45521</v>
      </c>
      <c r="B432" s="8" t="s">
        <v>635</v>
      </c>
      <c r="C432" s="8" t="s">
        <v>18</v>
      </c>
      <c r="D432" s="8" t="s">
        <v>9</v>
      </c>
      <c r="E432" s="9">
        <v>8.7100000000000009</v>
      </c>
      <c r="F432" s="8" t="s">
        <v>10</v>
      </c>
      <c r="G432" s="8">
        <v>17.420000000000002</v>
      </c>
      <c r="H432" s="10">
        <f t="shared" si="12"/>
        <v>8</v>
      </c>
      <c r="I432" s="10">
        <f>YEAR(Sheet1!$A432)</f>
        <v>2024</v>
      </c>
      <c r="J432" s="10">
        <f>DAY(Sheet1!$A432)</f>
        <v>17</v>
      </c>
      <c r="K432" s="12" t="s">
        <v>2022</v>
      </c>
      <c r="L432" s="13" t="str">
        <f t="shared" si="13"/>
        <v>Regular Customer</v>
      </c>
    </row>
    <row r="433" spans="1:12" ht="15.75" customHeight="1" x14ac:dyDescent="0.3">
      <c r="A433" s="14">
        <v>45492</v>
      </c>
      <c r="B433" s="15" t="s">
        <v>1167</v>
      </c>
      <c r="C433" s="15" t="s">
        <v>18</v>
      </c>
      <c r="D433" s="15" t="s">
        <v>16</v>
      </c>
      <c r="E433" s="16">
        <v>17.43</v>
      </c>
      <c r="F433" s="15" t="s">
        <v>11</v>
      </c>
      <c r="G433" s="15">
        <v>17.43</v>
      </c>
      <c r="H433" s="17">
        <f t="shared" si="12"/>
        <v>7</v>
      </c>
      <c r="I433" s="17">
        <f>YEAR(Sheet1!$A433)</f>
        <v>2024</v>
      </c>
      <c r="J433" s="17">
        <f>DAY(Sheet1!$A433)</f>
        <v>19</v>
      </c>
      <c r="K433" s="18" t="s">
        <v>2022</v>
      </c>
      <c r="L433" s="19" t="str">
        <f t="shared" si="13"/>
        <v>Regular Customer</v>
      </c>
    </row>
    <row r="434" spans="1:12" ht="15.75" customHeight="1" x14ac:dyDescent="0.3">
      <c r="A434" s="7">
        <v>45548</v>
      </c>
      <c r="B434" s="8" t="s">
        <v>396</v>
      </c>
      <c r="C434" s="8" t="s">
        <v>13</v>
      </c>
      <c r="D434" s="8" t="s">
        <v>19</v>
      </c>
      <c r="E434" s="9">
        <v>5.81</v>
      </c>
      <c r="F434" s="8" t="s">
        <v>10</v>
      </c>
      <c r="G434" s="8">
        <v>17.43</v>
      </c>
      <c r="H434" s="10">
        <f t="shared" si="12"/>
        <v>9</v>
      </c>
      <c r="I434" s="10">
        <f>YEAR(Sheet1!$A434)</f>
        <v>2024</v>
      </c>
      <c r="J434" s="10">
        <f>DAY(Sheet1!$A434)</f>
        <v>13</v>
      </c>
      <c r="K434" s="12" t="s">
        <v>2023</v>
      </c>
      <c r="L434" s="13" t="str">
        <f t="shared" si="13"/>
        <v>Regular Customer</v>
      </c>
    </row>
    <row r="435" spans="1:12" ht="15.75" customHeight="1" x14ac:dyDescent="0.3">
      <c r="A435" s="14">
        <v>45620</v>
      </c>
      <c r="B435" s="15" t="s">
        <v>755</v>
      </c>
      <c r="C435" s="15" t="s">
        <v>8</v>
      </c>
      <c r="D435" s="15" t="s">
        <v>16</v>
      </c>
      <c r="E435" s="16">
        <v>5.81</v>
      </c>
      <c r="F435" s="15" t="s">
        <v>10</v>
      </c>
      <c r="G435" s="15">
        <v>17.43</v>
      </c>
      <c r="H435" s="17">
        <f t="shared" si="12"/>
        <v>11</v>
      </c>
      <c r="I435" s="17">
        <f>YEAR(Sheet1!$A435)</f>
        <v>2024</v>
      </c>
      <c r="J435" s="17">
        <f>DAY(Sheet1!$A435)</f>
        <v>24</v>
      </c>
      <c r="K435" s="18" t="s">
        <v>2023</v>
      </c>
      <c r="L435" s="19" t="str">
        <f t="shared" si="13"/>
        <v>Regular Customer</v>
      </c>
    </row>
    <row r="436" spans="1:12" ht="15.75" customHeight="1" x14ac:dyDescent="0.3">
      <c r="A436" s="7">
        <v>45453</v>
      </c>
      <c r="B436" s="8" t="s">
        <v>1102</v>
      </c>
      <c r="C436" s="8" t="s">
        <v>8</v>
      </c>
      <c r="D436" s="8" t="s">
        <v>9</v>
      </c>
      <c r="E436" s="9">
        <v>17.440000000000001</v>
      </c>
      <c r="F436" s="8" t="s">
        <v>11</v>
      </c>
      <c r="G436" s="8">
        <v>17.440000000000001</v>
      </c>
      <c r="H436" s="10">
        <f t="shared" si="12"/>
        <v>6</v>
      </c>
      <c r="I436" s="10">
        <f>YEAR(Sheet1!$A436)</f>
        <v>2024</v>
      </c>
      <c r="J436" s="10">
        <f>DAY(Sheet1!$A436)</f>
        <v>10</v>
      </c>
      <c r="K436" s="12" t="s">
        <v>2022</v>
      </c>
      <c r="L436" s="13" t="str">
        <f t="shared" si="13"/>
        <v>Regular Customer</v>
      </c>
    </row>
    <row r="437" spans="1:12" ht="15.75" customHeight="1" x14ac:dyDescent="0.3">
      <c r="A437" s="14">
        <v>45648</v>
      </c>
      <c r="B437" s="15" t="s">
        <v>329</v>
      </c>
      <c r="C437" s="15" t="s">
        <v>24</v>
      </c>
      <c r="D437" s="15" t="s">
        <v>14</v>
      </c>
      <c r="E437" s="16">
        <v>17.440000000000001</v>
      </c>
      <c r="F437" s="15" t="s">
        <v>11</v>
      </c>
      <c r="G437" s="15">
        <v>17.440000000000001</v>
      </c>
      <c r="H437" s="17">
        <f t="shared" si="12"/>
        <v>12</v>
      </c>
      <c r="I437" s="17">
        <f>YEAR(Sheet1!$A437)</f>
        <v>2024</v>
      </c>
      <c r="J437" s="17">
        <f>DAY(Sheet1!$A437)</f>
        <v>22</v>
      </c>
      <c r="K437" s="18" t="s">
        <v>2022</v>
      </c>
      <c r="L437" s="19" t="str">
        <f t="shared" si="13"/>
        <v>Regular Customer</v>
      </c>
    </row>
    <row r="438" spans="1:12" ht="15.75" customHeight="1" x14ac:dyDescent="0.3">
      <c r="A438" s="7">
        <v>45445</v>
      </c>
      <c r="B438" s="8" t="s">
        <v>736</v>
      </c>
      <c r="C438" s="8" t="s">
        <v>18</v>
      </c>
      <c r="D438" s="8" t="s">
        <v>9</v>
      </c>
      <c r="E438" s="9">
        <v>8.73</v>
      </c>
      <c r="F438" s="8" t="s">
        <v>10</v>
      </c>
      <c r="G438" s="8">
        <v>17.46</v>
      </c>
      <c r="H438" s="10">
        <f t="shared" si="12"/>
        <v>6</v>
      </c>
      <c r="I438" s="10">
        <f>YEAR(Sheet1!$A438)</f>
        <v>2024</v>
      </c>
      <c r="J438" s="10">
        <f>DAY(Sheet1!$A438)</f>
        <v>2</v>
      </c>
      <c r="K438" s="12" t="s">
        <v>2022</v>
      </c>
      <c r="L438" s="13" t="str">
        <f t="shared" si="13"/>
        <v>Regular Customer</v>
      </c>
    </row>
    <row r="439" spans="1:12" ht="15.75" customHeight="1" x14ac:dyDescent="0.3">
      <c r="A439" s="14">
        <v>45665</v>
      </c>
      <c r="B439" s="15" t="s">
        <v>1869</v>
      </c>
      <c r="C439" s="15" t="s">
        <v>18</v>
      </c>
      <c r="D439" s="15" t="s">
        <v>9</v>
      </c>
      <c r="E439" s="16">
        <v>5.82</v>
      </c>
      <c r="F439" s="15" t="s">
        <v>10</v>
      </c>
      <c r="G439" s="15">
        <v>17.46</v>
      </c>
      <c r="H439" s="17">
        <f t="shared" si="12"/>
        <v>1</v>
      </c>
      <c r="I439" s="17">
        <f>YEAR(Sheet1!$A439)</f>
        <v>2025</v>
      </c>
      <c r="J439" s="17">
        <f>DAY(Sheet1!$A439)</f>
        <v>8</v>
      </c>
      <c r="K439" s="18" t="s">
        <v>2022</v>
      </c>
      <c r="L439" s="19" t="str">
        <f t="shared" si="13"/>
        <v>Regular Customer</v>
      </c>
    </row>
    <row r="440" spans="1:12" ht="15.75" customHeight="1" x14ac:dyDescent="0.3">
      <c r="A440" s="7">
        <v>45743</v>
      </c>
      <c r="B440" s="8" t="s">
        <v>456</v>
      </c>
      <c r="C440" s="8" t="s">
        <v>18</v>
      </c>
      <c r="D440" s="8" t="s">
        <v>14</v>
      </c>
      <c r="E440" s="9">
        <v>17.46</v>
      </c>
      <c r="F440" s="8" t="s">
        <v>11</v>
      </c>
      <c r="G440" s="8">
        <v>17.46</v>
      </c>
      <c r="H440" s="10">
        <f t="shared" si="12"/>
        <v>3</v>
      </c>
      <c r="I440" s="10">
        <f>YEAR(Sheet1!$A440)</f>
        <v>2025</v>
      </c>
      <c r="J440" s="10">
        <f>DAY(Sheet1!$A440)</f>
        <v>27</v>
      </c>
      <c r="K440" s="12" t="s">
        <v>2023</v>
      </c>
      <c r="L440" s="13" t="str">
        <f t="shared" si="13"/>
        <v>Regular Customer</v>
      </c>
    </row>
    <row r="441" spans="1:12" ht="15.75" customHeight="1" x14ac:dyDescent="0.3">
      <c r="A441" s="14">
        <v>45442</v>
      </c>
      <c r="B441" s="15" t="s">
        <v>145</v>
      </c>
      <c r="C441" s="15" t="s">
        <v>13</v>
      </c>
      <c r="D441" s="15" t="s">
        <v>14</v>
      </c>
      <c r="E441" s="16">
        <v>17.5</v>
      </c>
      <c r="F441" s="15" t="s">
        <v>10</v>
      </c>
      <c r="G441" s="15">
        <v>17.5</v>
      </c>
      <c r="H441" s="17">
        <f t="shared" si="12"/>
        <v>5</v>
      </c>
      <c r="I441" s="17">
        <f>YEAR(Sheet1!$A441)</f>
        <v>2024</v>
      </c>
      <c r="J441" s="17">
        <f>DAY(Sheet1!$A441)</f>
        <v>30</v>
      </c>
      <c r="K441" s="18" t="s">
        <v>2022</v>
      </c>
      <c r="L441" s="19" t="str">
        <f t="shared" si="13"/>
        <v>Regular Customer</v>
      </c>
    </row>
    <row r="442" spans="1:12" ht="15.75" customHeight="1" x14ac:dyDescent="0.3">
      <c r="A442" s="7">
        <v>45675</v>
      </c>
      <c r="B442" s="8" t="s">
        <v>1223</v>
      </c>
      <c r="C442" s="8" t="s">
        <v>13</v>
      </c>
      <c r="D442" s="8" t="s">
        <v>16</v>
      </c>
      <c r="E442" s="9">
        <v>17.53</v>
      </c>
      <c r="F442" s="8" t="s">
        <v>11</v>
      </c>
      <c r="G442" s="8">
        <v>17.53</v>
      </c>
      <c r="H442" s="10">
        <f t="shared" si="12"/>
        <v>1</v>
      </c>
      <c r="I442" s="10">
        <f>YEAR(Sheet1!$A442)</f>
        <v>2025</v>
      </c>
      <c r="J442" s="10">
        <f>DAY(Sheet1!$A442)</f>
        <v>18</v>
      </c>
      <c r="K442" s="12" t="s">
        <v>2023</v>
      </c>
      <c r="L442" s="13" t="str">
        <f t="shared" si="13"/>
        <v>Regular Customer</v>
      </c>
    </row>
    <row r="443" spans="1:12" ht="15.75" customHeight="1" x14ac:dyDescent="0.3">
      <c r="A443" s="14">
        <v>45505</v>
      </c>
      <c r="B443" s="15" t="s">
        <v>1405</v>
      </c>
      <c r="C443" s="15" t="s">
        <v>24</v>
      </c>
      <c r="D443" s="15" t="s">
        <v>16</v>
      </c>
      <c r="E443" s="16">
        <v>17.54</v>
      </c>
      <c r="F443" s="15" t="s">
        <v>10</v>
      </c>
      <c r="G443" s="15">
        <v>17.54</v>
      </c>
      <c r="H443" s="17">
        <f t="shared" si="12"/>
        <v>8</v>
      </c>
      <c r="I443" s="17">
        <f>YEAR(Sheet1!$A443)</f>
        <v>2024</v>
      </c>
      <c r="J443" s="17">
        <f>DAY(Sheet1!$A443)</f>
        <v>1</v>
      </c>
      <c r="K443" s="18" t="s">
        <v>2022</v>
      </c>
      <c r="L443" s="19" t="str">
        <f t="shared" si="13"/>
        <v>Regular Customer</v>
      </c>
    </row>
    <row r="444" spans="1:12" ht="15.75" customHeight="1" x14ac:dyDescent="0.3">
      <c r="A444" s="7">
        <v>45769</v>
      </c>
      <c r="B444" s="8" t="s">
        <v>1161</v>
      </c>
      <c r="C444" s="8" t="s">
        <v>24</v>
      </c>
      <c r="D444" s="8" t="s">
        <v>16</v>
      </c>
      <c r="E444" s="9">
        <v>17.54</v>
      </c>
      <c r="F444" s="8" t="s">
        <v>10</v>
      </c>
      <c r="G444" s="8">
        <v>17.54</v>
      </c>
      <c r="H444" s="10">
        <f t="shared" si="12"/>
        <v>4</v>
      </c>
      <c r="I444" s="10">
        <f>YEAR(Sheet1!$A444)</f>
        <v>2025</v>
      </c>
      <c r="J444" s="10">
        <f>DAY(Sheet1!$A444)</f>
        <v>22</v>
      </c>
      <c r="K444" s="12" t="s">
        <v>2023</v>
      </c>
      <c r="L444" s="13" t="str">
        <f t="shared" si="13"/>
        <v>Regular Customer</v>
      </c>
    </row>
    <row r="445" spans="1:12" ht="15.75" customHeight="1" x14ac:dyDescent="0.3">
      <c r="A445" s="14">
        <v>45538</v>
      </c>
      <c r="B445" s="15" t="s">
        <v>1701</v>
      </c>
      <c r="C445" s="15" t="s">
        <v>8</v>
      </c>
      <c r="D445" s="15" t="s">
        <v>14</v>
      </c>
      <c r="E445" s="16">
        <v>17.55</v>
      </c>
      <c r="F445" s="15" t="s">
        <v>11</v>
      </c>
      <c r="G445" s="15">
        <v>17.55</v>
      </c>
      <c r="H445" s="17">
        <f t="shared" si="12"/>
        <v>9</v>
      </c>
      <c r="I445" s="17">
        <f>YEAR(Sheet1!$A445)</f>
        <v>2024</v>
      </c>
      <c r="J445" s="17">
        <f>DAY(Sheet1!$A445)</f>
        <v>3</v>
      </c>
      <c r="K445" s="18" t="s">
        <v>2023</v>
      </c>
      <c r="L445" s="19" t="str">
        <f t="shared" si="13"/>
        <v>Regular Customer</v>
      </c>
    </row>
    <row r="446" spans="1:12" ht="15.75" customHeight="1" x14ac:dyDescent="0.3">
      <c r="A446" s="7">
        <v>45715</v>
      </c>
      <c r="B446" s="8" t="s">
        <v>257</v>
      </c>
      <c r="C446" s="8" t="s">
        <v>8</v>
      </c>
      <c r="D446" s="8" t="s">
        <v>19</v>
      </c>
      <c r="E446" s="9">
        <v>17.55</v>
      </c>
      <c r="F446" s="8" t="s">
        <v>11</v>
      </c>
      <c r="G446" s="8">
        <v>17.55</v>
      </c>
      <c r="H446" s="10">
        <f t="shared" si="12"/>
        <v>2</v>
      </c>
      <c r="I446" s="10">
        <f>YEAR(Sheet1!$A446)</f>
        <v>2025</v>
      </c>
      <c r="J446" s="10">
        <f>DAY(Sheet1!$A446)</f>
        <v>27</v>
      </c>
      <c r="K446" s="12" t="s">
        <v>2022</v>
      </c>
      <c r="L446" s="13" t="str">
        <f t="shared" si="13"/>
        <v>Regular Customer</v>
      </c>
    </row>
    <row r="447" spans="1:12" ht="15.75" customHeight="1" x14ac:dyDescent="0.3">
      <c r="A447" s="14">
        <v>45425</v>
      </c>
      <c r="B447" s="15" t="s">
        <v>1093</v>
      </c>
      <c r="C447" s="15" t="s">
        <v>8</v>
      </c>
      <c r="D447" s="15" t="s">
        <v>19</v>
      </c>
      <c r="E447" s="16">
        <v>17.57</v>
      </c>
      <c r="F447" s="15" t="s">
        <v>11</v>
      </c>
      <c r="G447" s="15">
        <v>17.57</v>
      </c>
      <c r="H447" s="17">
        <f t="shared" si="12"/>
        <v>5</v>
      </c>
      <c r="I447" s="17">
        <f>YEAR(Sheet1!$A447)</f>
        <v>2024</v>
      </c>
      <c r="J447" s="17">
        <f>DAY(Sheet1!$A447)</f>
        <v>13</v>
      </c>
      <c r="K447" s="18" t="s">
        <v>2022</v>
      </c>
      <c r="L447" s="19" t="str">
        <f t="shared" si="13"/>
        <v>Regular Customer</v>
      </c>
    </row>
    <row r="448" spans="1:12" ht="15.75" customHeight="1" x14ac:dyDescent="0.3">
      <c r="A448" s="7">
        <v>45526</v>
      </c>
      <c r="B448" s="8" t="s">
        <v>1478</v>
      </c>
      <c r="C448" s="8" t="s">
        <v>13</v>
      </c>
      <c r="D448" s="8" t="s">
        <v>19</v>
      </c>
      <c r="E448" s="9">
        <v>8.7899999999999991</v>
      </c>
      <c r="F448" s="8" t="s">
        <v>10</v>
      </c>
      <c r="G448" s="8">
        <v>17.579999999999998</v>
      </c>
      <c r="H448" s="10">
        <f t="shared" si="12"/>
        <v>8</v>
      </c>
      <c r="I448" s="10">
        <f>YEAR(Sheet1!$A448)</f>
        <v>2024</v>
      </c>
      <c r="J448" s="10">
        <f>DAY(Sheet1!$A448)</f>
        <v>22</v>
      </c>
      <c r="K448" s="12" t="s">
        <v>2023</v>
      </c>
      <c r="L448" s="13" t="str">
        <f t="shared" si="13"/>
        <v>Regular Customer</v>
      </c>
    </row>
    <row r="449" spans="1:12" ht="15.75" customHeight="1" x14ac:dyDescent="0.3">
      <c r="A449" s="14">
        <v>45593</v>
      </c>
      <c r="B449" s="15" t="s">
        <v>243</v>
      </c>
      <c r="C449" s="15" t="s">
        <v>8</v>
      </c>
      <c r="D449" s="15" t="s">
        <v>9</v>
      </c>
      <c r="E449" s="16">
        <v>5.86</v>
      </c>
      <c r="F449" s="15" t="s">
        <v>11</v>
      </c>
      <c r="G449" s="15">
        <v>17.579999999999998</v>
      </c>
      <c r="H449" s="17">
        <f t="shared" si="12"/>
        <v>10</v>
      </c>
      <c r="I449" s="17">
        <f>YEAR(Sheet1!$A449)</f>
        <v>2024</v>
      </c>
      <c r="J449" s="17">
        <f>DAY(Sheet1!$A449)</f>
        <v>28</v>
      </c>
      <c r="K449" s="18" t="s">
        <v>2023</v>
      </c>
      <c r="L449" s="19" t="str">
        <f t="shared" si="13"/>
        <v>Regular Customer</v>
      </c>
    </row>
    <row r="450" spans="1:12" ht="15.75" customHeight="1" x14ac:dyDescent="0.3">
      <c r="A450" s="7">
        <v>45457</v>
      </c>
      <c r="B450" s="8" t="s">
        <v>937</v>
      </c>
      <c r="C450" s="8" t="s">
        <v>18</v>
      </c>
      <c r="D450" s="8" t="s">
        <v>9</v>
      </c>
      <c r="E450" s="9">
        <v>17.59</v>
      </c>
      <c r="F450" s="8" t="s">
        <v>10</v>
      </c>
      <c r="G450" s="8">
        <v>17.59</v>
      </c>
      <c r="H450" s="10">
        <f t="shared" ref="H450:H513" si="14">MONTH(A450)</f>
        <v>6</v>
      </c>
      <c r="I450" s="10">
        <f>YEAR(Sheet1!$A450)</f>
        <v>2024</v>
      </c>
      <c r="J450" s="10">
        <f>DAY(Sheet1!$A450)</f>
        <v>14</v>
      </c>
      <c r="K450" s="12" t="s">
        <v>2023</v>
      </c>
      <c r="L450" s="13" t="str">
        <f t="shared" ref="L450:L513" si="15">IF(G450&gt;50,"Premium Customer","Regular Customer")</f>
        <v>Regular Customer</v>
      </c>
    </row>
    <row r="451" spans="1:12" ht="15.75" customHeight="1" x14ac:dyDescent="0.3">
      <c r="A451" s="14">
        <v>45632</v>
      </c>
      <c r="B451" s="15" t="s">
        <v>1195</v>
      </c>
      <c r="C451" s="15" t="s">
        <v>24</v>
      </c>
      <c r="D451" s="15" t="s">
        <v>14</v>
      </c>
      <c r="E451" s="16">
        <v>17.61</v>
      </c>
      <c r="F451" s="15" t="s">
        <v>11</v>
      </c>
      <c r="G451" s="15">
        <v>17.61</v>
      </c>
      <c r="H451" s="17">
        <f t="shared" si="14"/>
        <v>12</v>
      </c>
      <c r="I451" s="17">
        <f>YEAR(Sheet1!$A451)</f>
        <v>2024</v>
      </c>
      <c r="J451" s="17">
        <f>DAY(Sheet1!$A451)</f>
        <v>6</v>
      </c>
      <c r="K451" s="18" t="s">
        <v>2023</v>
      </c>
      <c r="L451" s="19" t="str">
        <f t="shared" si="15"/>
        <v>Regular Customer</v>
      </c>
    </row>
    <row r="452" spans="1:12" ht="15.75" customHeight="1" x14ac:dyDescent="0.3">
      <c r="A452" s="7">
        <v>45550</v>
      </c>
      <c r="B452" s="8" t="s">
        <v>1057</v>
      </c>
      <c r="C452" s="8" t="s">
        <v>18</v>
      </c>
      <c r="D452" s="8" t="s">
        <v>19</v>
      </c>
      <c r="E452" s="9">
        <v>17.66</v>
      </c>
      <c r="F452" s="8" t="s">
        <v>11</v>
      </c>
      <c r="G452" s="8">
        <v>17.66</v>
      </c>
      <c r="H452" s="10">
        <f t="shared" si="14"/>
        <v>9</v>
      </c>
      <c r="I452" s="10">
        <f>YEAR(Sheet1!$A452)</f>
        <v>2024</v>
      </c>
      <c r="J452" s="10">
        <f>DAY(Sheet1!$A452)</f>
        <v>15</v>
      </c>
      <c r="K452" s="12" t="s">
        <v>2022</v>
      </c>
      <c r="L452" s="13" t="str">
        <f t="shared" si="15"/>
        <v>Regular Customer</v>
      </c>
    </row>
    <row r="453" spans="1:12" ht="15.75" customHeight="1" x14ac:dyDescent="0.3">
      <c r="A453" s="14">
        <v>45421</v>
      </c>
      <c r="B453" s="15" t="s">
        <v>1554</v>
      </c>
      <c r="C453" s="15" t="s">
        <v>24</v>
      </c>
      <c r="D453" s="15" t="s">
        <v>16</v>
      </c>
      <c r="E453" s="16">
        <v>8.84</v>
      </c>
      <c r="F453" s="15" t="s">
        <v>10</v>
      </c>
      <c r="G453" s="15">
        <v>17.68</v>
      </c>
      <c r="H453" s="17">
        <f t="shared" si="14"/>
        <v>5</v>
      </c>
      <c r="I453" s="17">
        <f>YEAR(Sheet1!$A453)</f>
        <v>2024</v>
      </c>
      <c r="J453" s="17">
        <f>DAY(Sheet1!$A453)</f>
        <v>9</v>
      </c>
      <c r="K453" s="18" t="s">
        <v>2023</v>
      </c>
      <c r="L453" s="19" t="str">
        <f t="shared" si="15"/>
        <v>Regular Customer</v>
      </c>
    </row>
    <row r="454" spans="1:12" ht="15.75" customHeight="1" x14ac:dyDescent="0.3">
      <c r="A454" s="7">
        <v>45427</v>
      </c>
      <c r="B454" s="8" t="s">
        <v>1103</v>
      </c>
      <c r="C454" s="8" t="s">
        <v>24</v>
      </c>
      <c r="D454" s="8" t="s">
        <v>19</v>
      </c>
      <c r="E454" s="9">
        <v>17.68</v>
      </c>
      <c r="F454" s="8" t="s">
        <v>11</v>
      </c>
      <c r="G454" s="8">
        <v>17.68</v>
      </c>
      <c r="H454" s="10">
        <f t="shared" si="14"/>
        <v>5</v>
      </c>
      <c r="I454" s="10">
        <f>YEAR(Sheet1!$A454)</f>
        <v>2024</v>
      </c>
      <c r="J454" s="10">
        <f>DAY(Sheet1!$A454)</f>
        <v>15</v>
      </c>
      <c r="K454" s="12" t="s">
        <v>2022</v>
      </c>
      <c r="L454" s="13" t="str">
        <f t="shared" si="15"/>
        <v>Regular Customer</v>
      </c>
    </row>
    <row r="455" spans="1:12" ht="15.75" customHeight="1" x14ac:dyDescent="0.3">
      <c r="A455" s="14">
        <v>45492</v>
      </c>
      <c r="B455" s="15" t="s">
        <v>1404</v>
      </c>
      <c r="C455" s="15" t="s">
        <v>18</v>
      </c>
      <c r="D455" s="15" t="s">
        <v>14</v>
      </c>
      <c r="E455" s="16">
        <v>17.72</v>
      </c>
      <c r="F455" s="15" t="s">
        <v>11</v>
      </c>
      <c r="G455" s="15">
        <v>17.72</v>
      </c>
      <c r="H455" s="17">
        <f t="shared" si="14"/>
        <v>7</v>
      </c>
      <c r="I455" s="17">
        <f>YEAR(Sheet1!$A455)</f>
        <v>2024</v>
      </c>
      <c r="J455" s="17">
        <f>DAY(Sheet1!$A455)</f>
        <v>19</v>
      </c>
      <c r="K455" s="18" t="s">
        <v>2022</v>
      </c>
      <c r="L455" s="19" t="str">
        <f t="shared" si="15"/>
        <v>Regular Customer</v>
      </c>
    </row>
    <row r="456" spans="1:12" ht="15.75" customHeight="1" x14ac:dyDescent="0.3">
      <c r="A456" s="7">
        <v>45684</v>
      </c>
      <c r="B456" s="8" t="s">
        <v>901</v>
      </c>
      <c r="C456" s="8" t="s">
        <v>24</v>
      </c>
      <c r="D456" s="8" t="s">
        <v>9</v>
      </c>
      <c r="E456" s="9">
        <v>8.8800000000000008</v>
      </c>
      <c r="F456" s="8" t="s">
        <v>10</v>
      </c>
      <c r="G456" s="8">
        <v>17.760000000000002</v>
      </c>
      <c r="H456" s="10">
        <f t="shared" si="14"/>
        <v>1</v>
      </c>
      <c r="I456" s="10">
        <f>YEAR(Sheet1!$A456)</f>
        <v>2025</v>
      </c>
      <c r="J456" s="10">
        <f>DAY(Sheet1!$A456)</f>
        <v>27</v>
      </c>
      <c r="K456" s="12" t="s">
        <v>2023</v>
      </c>
      <c r="L456" s="13" t="str">
        <f t="shared" si="15"/>
        <v>Regular Customer</v>
      </c>
    </row>
    <row r="457" spans="1:12" ht="15.75" customHeight="1" x14ac:dyDescent="0.3">
      <c r="A457" s="14">
        <v>45707</v>
      </c>
      <c r="B457" s="15" t="s">
        <v>2012</v>
      </c>
      <c r="C457" s="15" t="s">
        <v>8</v>
      </c>
      <c r="D457" s="15" t="s">
        <v>14</v>
      </c>
      <c r="E457" s="16">
        <v>8.9</v>
      </c>
      <c r="F457" s="15" t="s">
        <v>11</v>
      </c>
      <c r="G457" s="15">
        <v>17.8</v>
      </c>
      <c r="H457" s="17">
        <f t="shared" si="14"/>
        <v>2</v>
      </c>
      <c r="I457" s="17">
        <f>YEAR(Sheet1!$A457)</f>
        <v>2025</v>
      </c>
      <c r="J457" s="17">
        <f>DAY(Sheet1!$A457)</f>
        <v>19</v>
      </c>
      <c r="K457" s="18" t="s">
        <v>2022</v>
      </c>
      <c r="L457" s="19" t="str">
        <f t="shared" si="15"/>
        <v>Regular Customer</v>
      </c>
    </row>
    <row r="458" spans="1:12" ht="15.75" customHeight="1" x14ac:dyDescent="0.3">
      <c r="A458" s="7">
        <v>45690</v>
      </c>
      <c r="B458" s="8" t="s">
        <v>259</v>
      </c>
      <c r="C458" s="8" t="s">
        <v>13</v>
      </c>
      <c r="D458" s="8" t="s">
        <v>16</v>
      </c>
      <c r="E458" s="9">
        <v>17.809999999999999</v>
      </c>
      <c r="F458" s="8" t="s">
        <v>10</v>
      </c>
      <c r="G458" s="8">
        <v>17.809999999999999</v>
      </c>
      <c r="H458" s="10">
        <f t="shared" si="14"/>
        <v>2</v>
      </c>
      <c r="I458" s="10">
        <f>YEAR(Sheet1!$A458)</f>
        <v>2025</v>
      </c>
      <c r="J458" s="10">
        <f>DAY(Sheet1!$A458)</f>
        <v>2</v>
      </c>
      <c r="K458" s="12" t="s">
        <v>2022</v>
      </c>
      <c r="L458" s="13" t="str">
        <f t="shared" si="15"/>
        <v>Regular Customer</v>
      </c>
    </row>
    <row r="459" spans="1:12" ht="15.75" customHeight="1" x14ac:dyDescent="0.3">
      <c r="A459" s="14">
        <v>45486</v>
      </c>
      <c r="B459" s="15" t="s">
        <v>170</v>
      </c>
      <c r="C459" s="15" t="s">
        <v>24</v>
      </c>
      <c r="D459" s="15" t="s">
        <v>9</v>
      </c>
      <c r="E459" s="16">
        <v>17.87</v>
      </c>
      <c r="F459" s="15" t="s">
        <v>10</v>
      </c>
      <c r="G459" s="15">
        <v>17.87</v>
      </c>
      <c r="H459" s="17">
        <f t="shared" si="14"/>
        <v>7</v>
      </c>
      <c r="I459" s="17">
        <f>YEAR(Sheet1!$A459)</f>
        <v>2024</v>
      </c>
      <c r="J459" s="17">
        <f>DAY(Sheet1!$A459)</f>
        <v>13</v>
      </c>
      <c r="K459" s="18" t="s">
        <v>2022</v>
      </c>
      <c r="L459" s="19" t="str">
        <f t="shared" si="15"/>
        <v>Regular Customer</v>
      </c>
    </row>
    <row r="460" spans="1:12" ht="15.75" customHeight="1" x14ac:dyDescent="0.3">
      <c r="A460" s="7">
        <v>45718</v>
      </c>
      <c r="B460" s="8" t="s">
        <v>2011</v>
      </c>
      <c r="C460" s="8" t="s">
        <v>24</v>
      </c>
      <c r="D460" s="8" t="s">
        <v>16</v>
      </c>
      <c r="E460" s="9">
        <v>8.9499999999999993</v>
      </c>
      <c r="F460" s="8" t="s">
        <v>11</v>
      </c>
      <c r="G460" s="8">
        <v>17.899999999999999</v>
      </c>
      <c r="H460" s="10">
        <f t="shared" si="14"/>
        <v>3</v>
      </c>
      <c r="I460" s="10">
        <f>YEAR(Sheet1!$A460)</f>
        <v>2025</v>
      </c>
      <c r="J460" s="10">
        <f>DAY(Sheet1!$A460)</f>
        <v>2</v>
      </c>
      <c r="K460" s="12" t="s">
        <v>2022</v>
      </c>
      <c r="L460" s="13" t="str">
        <f t="shared" si="15"/>
        <v>Regular Customer</v>
      </c>
    </row>
    <row r="461" spans="1:12" ht="15.75" customHeight="1" x14ac:dyDescent="0.3">
      <c r="A461" s="14">
        <v>45503</v>
      </c>
      <c r="B461" s="15" t="s">
        <v>767</v>
      </c>
      <c r="C461" s="15" t="s">
        <v>13</v>
      </c>
      <c r="D461" s="15" t="s">
        <v>9</v>
      </c>
      <c r="E461" s="16">
        <v>8.98</v>
      </c>
      <c r="F461" s="15" t="s">
        <v>11</v>
      </c>
      <c r="G461" s="15">
        <v>17.96</v>
      </c>
      <c r="H461" s="17">
        <f t="shared" si="14"/>
        <v>7</v>
      </c>
      <c r="I461" s="17">
        <f>YEAR(Sheet1!$A461)</f>
        <v>2024</v>
      </c>
      <c r="J461" s="17">
        <f>DAY(Sheet1!$A461)</f>
        <v>30</v>
      </c>
      <c r="K461" s="18" t="s">
        <v>2023</v>
      </c>
      <c r="L461" s="19" t="str">
        <f t="shared" si="15"/>
        <v>Regular Customer</v>
      </c>
    </row>
    <row r="462" spans="1:12" ht="15.75" customHeight="1" x14ac:dyDescent="0.3">
      <c r="A462" s="7">
        <v>45558</v>
      </c>
      <c r="B462" s="8" t="s">
        <v>836</v>
      </c>
      <c r="C462" s="8" t="s">
        <v>8</v>
      </c>
      <c r="D462" s="8" t="s">
        <v>9</v>
      </c>
      <c r="E462" s="9">
        <v>17.96</v>
      </c>
      <c r="F462" s="8" t="s">
        <v>10</v>
      </c>
      <c r="G462" s="8">
        <v>17.96</v>
      </c>
      <c r="H462" s="10">
        <f t="shared" si="14"/>
        <v>9</v>
      </c>
      <c r="I462" s="10">
        <f>YEAR(Sheet1!$A462)</f>
        <v>2024</v>
      </c>
      <c r="J462" s="10">
        <f>DAY(Sheet1!$A462)</f>
        <v>23</v>
      </c>
      <c r="K462" s="12" t="s">
        <v>2022</v>
      </c>
      <c r="L462" s="13" t="str">
        <f t="shared" si="15"/>
        <v>Regular Customer</v>
      </c>
    </row>
    <row r="463" spans="1:12" ht="15.75" customHeight="1" x14ac:dyDescent="0.3">
      <c r="A463" s="14">
        <v>45739</v>
      </c>
      <c r="B463" s="15" t="s">
        <v>224</v>
      </c>
      <c r="C463" s="15" t="s">
        <v>24</v>
      </c>
      <c r="D463" s="15" t="s">
        <v>19</v>
      </c>
      <c r="E463" s="16">
        <v>17.97</v>
      </c>
      <c r="F463" s="15" t="s">
        <v>10</v>
      </c>
      <c r="G463" s="15">
        <v>17.97</v>
      </c>
      <c r="H463" s="17">
        <f t="shared" si="14"/>
        <v>3</v>
      </c>
      <c r="I463" s="17">
        <f>YEAR(Sheet1!$A463)</f>
        <v>2025</v>
      </c>
      <c r="J463" s="17">
        <f>DAY(Sheet1!$A463)</f>
        <v>23</v>
      </c>
      <c r="K463" s="18" t="s">
        <v>2022</v>
      </c>
      <c r="L463" s="19" t="str">
        <f t="shared" si="15"/>
        <v>Regular Customer</v>
      </c>
    </row>
    <row r="464" spans="1:12" ht="15.75" customHeight="1" x14ac:dyDescent="0.3">
      <c r="A464" s="7">
        <v>45540</v>
      </c>
      <c r="B464" s="8" t="s">
        <v>660</v>
      </c>
      <c r="C464" s="8" t="s">
        <v>8</v>
      </c>
      <c r="D464" s="8" t="s">
        <v>16</v>
      </c>
      <c r="E464" s="9">
        <v>17.98</v>
      </c>
      <c r="F464" s="8" t="s">
        <v>11</v>
      </c>
      <c r="G464" s="8">
        <v>17.98</v>
      </c>
      <c r="H464" s="10">
        <f t="shared" si="14"/>
        <v>9</v>
      </c>
      <c r="I464" s="10">
        <f>YEAR(Sheet1!$A464)</f>
        <v>2024</v>
      </c>
      <c r="J464" s="10">
        <f>DAY(Sheet1!$A464)</f>
        <v>5</v>
      </c>
      <c r="K464" s="12" t="s">
        <v>2023</v>
      </c>
      <c r="L464" s="13" t="str">
        <f t="shared" si="15"/>
        <v>Regular Customer</v>
      </c>
    </row>
    <row r="465" spans="1:12" ht="15.75" customHeight="1" x14ac:dyDescent="0.3">
      <c r="A465" s="14">
        <v>45620</v>
      </c>
      <c r="B465" s="15" t="s">
        <v>951</v>
      </c>
      <c r="C465" s="15" t="s">
        <v>24</v>
      </c>
      <c r="D465" s="15" t="s">
        <v>9</v>
      </c>
      <c r="E465" s="16">
        <v>8.99</v>
      </c>
      <c r="F465" s="15" t="s">
        <v>10</v>
      </c>
      <c r="G465" s="15">
        <v>17.98</v>
      </c>
      <c r="H465" s="17">
        <f t="shared" si="14"/>
        <v>11</v>
      </c>
      <c r="I465" s="17">
        <f>YEAR(Sheet1!$A465)</f>
        <v>2024</v>
      </c>
      <c r="J465" s="17">
        <f>DAY(Sheet1!$A465)</f>
        <v>24</v>
      </c>
      <c r="K465" s="18" t="s">
        <v>2023</v>
      </c>
      <c r="L465" s="19" t="str">
        <f t="shared" si="15"/>
        <v>Regular Customer</v>
      </c>
    </row>
    <row r="466" spans="1:12" ht="15.75" customHeight="1" x14ac:dyDescent="0.3">
      <c r="A466" s="7">
        <v>45688</v>
      </c>
      <c r="B466" s="8" t="s">
        <v>1336</v>
      </c>
      <c r="C466" s="8" t="s">
        <v>24</v>
      </c>
      <c r="D466" s="8" t="s">
        <v>19</v>
      </c>
      <c r="E466" s="9">
        <v>9</v>
      </c>
      <c r="F466" s="8" t="s">
        <v>10</v>
      </c>
      <c r="G466" s="8">
        <v>18</v>
      </c>
      <c r="H466" s="10">
        <f t="shared" si="14"/>
        <v>1</v>
      </c>
      <c r="I466" s="10">
        <f>YEAR(Sheet1!$A466)</f>
        <v>2025</v>
      </c>
      <c r="J466" s="10">
        <f>DAY(Sheet1!$A466)</f>
        <v>31</v>
      </c>
      <c r="K466" s="12" t="s">
        <v>2023</v>
      </c>
      <c r="L466" s="13" t="str">
        <f t="shared" si="15"/>
        <v>Regular Customer</v>
      </c>
    </row>
    <row r="467" spans="1:12" ht="15.75" customHeight="1" x14ac:dyDescent="0.3">
      <c r="A467" s="14">
        <v>45491</v>
      </c>
      <c r="B467" s="15" t="s">
        <v>809</v>
      </c>
      <c r="C467" s="15" t="s">
        <v>8</v>
      </c>
      <c r="D467" s="15" t="s">
        <v>14</v>
      </c>
      <c r="E467" s="16">
        <v>6.01</v>
      </c>
      <c r="F467" s="15" t="s">
        <v>10</v>
      </c>
      <c r="G467" s="15">
        <v>18.03</v>
      </c>
      <c r="H467" s="17">
        <f t="shared" si="14"/>
        <v>7</v>
      </c>
      <c r="I467" s="17">
        <f>YEAR(Sheet1!$A467)</f>
        <v>2024</v>
      </c>
      <c r="J467" s="17">
        <f>DAY(Sheet1!$A467)</f>
        <v>18</v>
      </c>
      <c r="K467" s="18" t="s">
        <v>2023</v>
      </c>
      <c r="L467" s="19" t="str">
        <f t="shared" si="15"/>
        <v>Regular Customer</v>
      </c>
    </row>
    <row r="468" spans="1:12" ht="15.75" customHeight="1" x14ac:dyDescent="0.3">
      <c r="A468" s="7">
        <v>45653</v>
      </c>
      <c r="B468" s="8" t="s">
        <v>1403</v>
      </c>
      <c r="C468" s="8" t="s">
        <v>18</v>
      </c>
      <c r="D468" s="8" t="s">
        <v>16</v>
      </c>
      <c r="E468" s="9">
        <v>6.01</v>
      </c>
      <c r="F468" s="8" t="s">
        <v>11</v>
      </c>
      <c r="G468" s="8">
        <v>18.03</v>
      </c>
      <c r="H468" s="10">
        <f t="shared" si="14"/>
        <v>12</v>
      </c>
      <c r="I468" s="10">
        <f>YEAR(Sheet1!$A468)</f>
        <v>2024</v>
      </c>
      <c r="J468" s="10">
        <f>DAY(Sheet1!$A468)</f>
        <v>27</v>
      </c>
      <c r="K468" s="12" t="s">
        <v>2023</v>
      </c>
      <c r="L468" s="13" t="str">
        <f t="shared" si="15"/>
        <v>Regular Customer</v>
      </c>
    </row>
    <row r="469" spans="1:12" ht="15.75" customHeight="1" x14ac:dyDescent="0.3">
      <c r="A469" s="14">
        <v>45623</v>
      </c>
      <c r="B469" s="15" t="s">
        <v>91</v>
      </c>
      <c r="C469" s="15" t="s">
        <v>18</v>
      </c>
      <c r="D469" s="15" t="s">
        <v>19</v>
      </c>
      <c r="E469" s="16">
        <v>18.11</v>
      </c>
      <c r="F469" s="15" t="s">
        <v>10</v>
      </c>
      <c r="G469" s="15">
        <v>18.11</v>
      </c>
      <c r="H469" s="17">
        <f t="shared" si="14"/>
        <v>11</v>
      </c>
      <c r="I469" s="17">
        <f>YEAR(Sheet1!$A469)</f>
        <v>2024</v>
      </c>
      <c r="J469" s="17">
        <f>DAY(Sheet1!$A469)</f>
        <v>27</v>
      </c>
      <c r="K469" s="18" t="s">
        <v>2023</v>
      </c>
      <c r="L469" s="19" t="str">
        <f t="shared" si="15"/>
        <v>Regular Customer</v>
      </c>
    </row>
    <row r="470" spans="1:12" ht="15.75" customHeight="1" x14ac:dyDescent="0.3">
      <c r="A470" s="7">
        <v>45505</v>
      </c>
      <c r="B470" s="8" t="s">
        <v>217</v>
      </c>
      <c r="C470" s="8" t="s">
        <v>18</v>
      </c>
      <c r="D470" s="8" t="s">
        <v>14</v>
      </c>
      <c r="E470" s="9">
        <v>9.06</v>
      </c>
      <c r="F470" s="8" t="s">
        <v>11</v>
      </c>
      <c r="G470" s="8">
        <v>18.12</v>
      </c>
      <c r="H470" s="10">
        <f t="shared" si="14"/>
        <v>8</v>
      </c>
      <c r="I470" s="10">
        <f>YEAR(Sheet1!$A470)</f>
        <v>2024</v>
      </c>
      <c r="J470" s="10">
        <f>DAY(Sheet1!$A470)</f>
        <v>1</v>
      </c>
      <c r="K470" s="12" t="s">
        <v>2023</v>
      </c>
      <c r="L470" s="13" t="str">
        <f t="shared" si="15"/>
        <v>Regular Customer</v>
      </c>
    </row>
    <row r="471" spans="1:12" ht="15.75" customHeight="1" x14ac:dyDescent="0.3">
      <c r="A471" s="14">
        <v>45606</v>
      </c>
      <c r="B471" s="15" t="s">
        <v>1936</v>
      </c>
      <c r="C471" s="15" t="s">
        <v>24</v>
      </c>
      <c r="D471" s="15" t="s">
        <v>16</v>
      </c>
      <c r="E471" s="16">
        <v>18.14</v>
      </c>
      <c r="F471" s="15" t="s">
        <v>10</v>
      </c>
      <c r="G471" s="15">
        <v>18.14</v>
      </c>
      <c r="H471" s="17">
        <f t="shared" si="14"/>
        <v>11</v>
      </c>
      <c r="I471" s="17">
        <f>YEAR(Sheet1!$A471)</f>
        <v>2024</v>
      </c>
      <c r="J471" s="17">
        <f>DAY(Sheet1!$A471)</f>
        <v>10</v>
      </c>
      <c r="K471" s="18" t="s">
        <v>2023</v>
      </c>
      <c r="L471" s="19" t="str">
        <f t="shared" si="15"/>
        <v>Regular Customer</v>
      </c>
    </row>
    <row r="472" spans="1:12" ht="15.75" customHeight="1" x14ac:dyDescent="0.3">
      <c r="A472" s="7">
        <v>45770</v>
      </c>
      <c r="B472" s="8" t="s">
        <v>1411</v>
      </c>
      <c r="C472" s="8" t="s">
        <v>24</v>
      </c>
      <c r="D472" s="8" t="s">
        <v>9</v>
      </c>
      <c r="E472" s="9">
        <v>18.149999999999999</v>
      </c>
      <c r="F472" s="8" t="s">
        <v>11</v>
      </c>
      <c r="G472" s="8">
        <v>18.149999999999999</v>
      </c>
      <c r="H472" s="10">
        <f t="shared" si="14"/>
        <v>4</v>
      </c>
      <c r="I472" s="10">
        <f>YEAR(Sheet1!$A472)</f>
        <v>2025</v>
      </c>
      <c r="J472" s="10">
        <f>DAY(Sheet1!$A472)</f>
        <v>23</v>
      </c>
      <c r="K472" s="12" t="s">
        <v>2023</v>
      </c>
      <c r="L472" s="13" t="str">
        <f t="shared" si="15"/>
        <v>Regular Customer</v>
      </c>
    </row>
    <row r="473" spans="1:12" ht="15.75" customHeight="1" x14ac:dyDescent="0.3">
      <c r="A473" s="14">
        <v>45475</v>
      </c>
      <c r="B473" s="15" t="s">
        <v>1720</v>
      </c>
      <c r="C473" s="15" t="s">
        <v>18</v>
      </c>
      <c r="D473" s="15" t="s">
        <v>19</v>
      </c>
      <c r="E473" s="16">
        <v>18.18</v>
      </c>
      <c r="F473" s="15" t="s">
        <v>11</v>
      </c>
      <c r="G473" s="15">
        <v>18.18</v>
      </c>
      <c r="H473" s="17">
        <f t="shared" si="14"/>
        <v>7</v>
      </c>
      <c r="I473" s="17">
        <f>YEAR(Sheet1!$A473)</f>
        <v>2024</v>
      </c>
      <c r="J473" s="17">
        <f>DAY(Sheet1!$A473)</f>
        <v>2</v>
      </c>
      <c r="K473" s="18" t="s">
        <v>2022</v>
      </c>
      <c r="L473" s="19" t="str">
        <f t="shared" si="15"/>
        <v>Regular Customer</v>
      </c>
    </row>
    <row r="474" spans="1:12" ht="15.75" customHeight="1" x14ac:dyDescent="0.3">
      <c r="A474" s="7">
        <v>45418</v>
      </c>
      <c r="B474" s="8" t="s">
        <v>1199</v>
      </c>
      <c r="C474" s="8" t="s">
        <v>13</v>
      </c>
      <c r="D474" s="8" t="s">
        <v>19</v>
      </c>
      <c r="E474" s="9">
        <v>9.1</v>
      </c>
      <c r="F474" s="8" t="s">
        <v>11</v>
      </c>
      <c r="G474" s="8">
        <v>18.2</v>
      </c>
      <c r="H474" s="10">
        <f t="shared" si="14"/>
        <v>5</v>
      </c>
      <c r="I474" s="10">
        <f>YEAR(Sheet1!$A474)</f>
        <v>2024</v>
      </c>
      <c r="J474" s="10">
        <f>DAY(Sheet1!$A474)</f>
        <v>6</v>
      </c>
      <c r="K474" s="12" t="s">
        <v>2023</v>
      </c>
      <c r="L474" s="13" t="str">
        <f t="shared" si="15"/>
        <v>Regular Customer</v>
      </c>
    </row>
    <row r="475" spans="1:12" ht="15.75" customHeight="1" x14ac:dyDescent="0.3">
      <c r="A475" s="14">
        <v>45453</v>
      </c>
      <c r="B475" s="15" t="s">
        <v>519</v>
      </c>
      <c r="C475" s="15" t="s">
        <v>8</v>
      </c>
      <c r="D475" s="15" t="s">
        <v>16</v>
      </c>
      <c r="E475" s="16">
        <v>9.1</v>
      </c>
      <c r="F475" s="15" t="s">
        <v>10</v>
      </c>
      <c r="G475" s="15">
        <v>18.2</v>
      </c>
      <c r="H475" s="17">
        <f t="shared" si="14"/>
        <v>6</v>
      </c>
      <c r="I475" s="17">
        <f>YEAR(Sheet1!$A475)</f>
        <v>2024</v>
      </c>
      <c r="J475" s="17">
        <f>DAY(Sheet1!$A475)</f>
        <v>10</v>
      </c>
      <c r="K475" s="18" t="s">
        <v>2022</v>
      </c>
      <c r="L475" s="19" t="str">
        <f t="shared" si="15"/>
        <v>Regular Customer</v>
      </c>
    </row>
    <row r="476" spans="1:12" ht="15.75" customHeight="1" x14ac:dyDescent="0.3">
      <c r="A476" s="7">
        <v>45727</v>
      </c>
      <c r="B476" s="8" t="s">
        <v>1707</v>
      </c>
      <c r="C476" s="8" t="s">
        <v>18</v>
      </c>
      <c r="D476" s="8" t="s">
        <v>9</v>
      </c>
      <c r="E476" s="9">
        <v>6.08</v>
      </c>
      <c r="F476" s="8" t="s">
        <v>10</v>
      </c>
      <c r="G476" s="8">
        <v>18.239999999999998</v>
      </c>
      <c r="H476" s="10">
        <f t="shared" si="14"/>
        <v>3</v>
      </c>
      <c r="I476" s="10">
        <f>YEAR(Sheet1!$A476)</f>
        <v>2025</v>
      </c>
      <c r="J476" s="10">
        <f>DAY(Sheet1!$A476)</f>
        <v>11</v>
      </c>
      <c r="K476" s="12" t="s">
        <v>2022</v>
      </c>
      <c r="L476" s="13" t="str">
        <f t="shared" si="15"/>
        <v>Regular Customer</v>
      </c>
    </row>
    <row r="477" spans="1:12" ht="15.75" customHeight="1" x14ac:dyDescent="0.3">
      <c r="A477" s="14">
        <v>45615</v>
      </c>
      <c r="B477" s="15" t="s">
        <v>1765</v>
      </c>
      <c r="C477" s="15" t="s">
        <v>13</v>
      </c>
      <c r="D477" s="15" t="s">
        <v>16</v>
      </c>
      <c r="E477" s="16">
        <v>9.14</v>
      </c>
      <c r="F477" s="15" t="s">
        <v>11</v>
      </c>
      <c r="G477" s="15">
        <v>18.28</v>
      </c>
      <c r="H477" s="17">
        <f t="shared" si="14"/>
        <v>11</v>
      </c>
      <c r="I477" s="17">
        <f>YEAR(Sheet1!$A477)</f>
        <v>2024</v>
      </c>
      <c r="J477" s="17">
        <f>DAY(Sheet1!$A477)</f>
        <v>19</v>
      </c>
      <c r="K477" s="18" t="s">
        <v>2023</v>
      </c>
      <c r="L477" s="19" t="str">
        <f t="shared" si="15"/>
        <v>Regular Customer</v>
      </c>
    </row>
    <row r="478" spans="1:12" ht="15.75" customHeight="1" x14ac:dyDescent="0.3">
      <c r="A478" s="7">
        <v>45753</v>
      </c>
      <c r="B478" s="8" t="s">
        <v>1978</v>
      </c>
      <c r="C478" s="8" t="s">
        <v>13</v>
      </c>
      <c r="D478" s="8" t="s">
        <v>14</v>
      </c>
      <c r="E478" s="9">
        <v>18.28</v>
      </c>
      <c r="F478" s="8" t="s">
        <v>11</v>
      </c>
      <c r="G478" s="8">
        <v>18.28</v>
      </c>
      <c r="H478" s="10">
        <f t="shared" si="14"/>
        <v>4</v>
      </c>
      <c r="I478" s="10">
        <f>YEAR(Sheet1!$A478)</f>
        <v>2025</v>
      </c>
      <c r="J478" s="10">
        <f>DAY(Sheet1!$A478)</f>
        <v>6</v>
      </c>
      <c r="K478" s="12" t="s">
        <v>2022</v>
      </c>
      <c r="L478" s="13" t="str">
        <f t="shared" si="15"/>
        <v>Regular Customer</v>
      </c>
    </row>
    <row r="479" spans="1:12" ht="15.75" customHeight="1" x14ac:dyDescent="0.3">
      <c r="A479" s="14">
        <v>45579</v>
      </c>
      <c r="B479" s="15" t="s">
        <v>1872</v>
      </c>
      <c r="C479" s="15" t="s">
        <v>18</v>
      </c>
      <c r="D479" s="15" t="s">
        <v>16</v>
      </c>
      <c r="E479" s="16">
        <v>18.3</v>
      </c>
      <c r="F479" s="15" t="s">
        <v>11</v>
      </c>
      <c r="G479" s="15">
        <v>18.3</v>
      </c>
      <c r="H479" s="17">
        <f t="shared" si="14"/>
        <v>10</v>
      </c>
      <c r="I479" s="17">
        <f>YEAR(Sheet1!$A479)</f>
        <v>2024</v>
      </c>
      <c r="J479" s="17">
        <f>DAY(Sheet1!$A479)</f>
        <v>14</v>
      </c>
      <c r="K479" s="18" t="s">
        <v>2022</v>
      </c>
      <c r="L479" s="19" t="str">
        <f t="shared" si="15"/>
        <v>Regular Customer</v>
      </c>
    </row>
    <row r="480" spans="1:12" ht="15.75" customHeight="1" x14ac:dyDescent="0.3">
      <c r="A480" s="7">
        <v>45440</v>
      </c>
      <c r="B480" s="8" t="s">
        <v>640</v>
      </c>
      <c r="C480" s="8" t="s">
        <v>24</v>
      </c>
      <c r="D480" s="8" t="s">
        <v>19</v>
      </c>
      <c r="E480" s="9">
        <v>9.16</v>
      </c>
      <c r="F480" s="8" t="s">
        <v>11</v>
      </c>
      <c r="G480" s="8">
        <v>18.32</v>
      </c>
      <c r="H480" s="10">
        <f t="shared" si="14"/>
        <v>5</v>
      </c>
      <c r="I480" s="10">
        <f>YEAR(Sheet1!$A480)</f>
        <v>2024</v>
      </c>
      <c r="J480" s="10">
        <f>DAY(Sheet1!$A480)</f>
        <v>28</v>
      </c>
      <c r="K480" s="12" t="s">
        <v>2023</v>
      </c>
      <c r="L480" s="13" t="str">
        <f t="shared" si="15"/>
        <v>Regular Customer</v>
      </c>
    </row>
    <row r="481" spans="1:12" ht="15.75" customHeight="1" x14ac:dyDescent="0.3">
      <c r="A481" s="14">
        <v>45584</v>
      </c>
      <c r="B481" s="15" t="s">
        <v>1935</v>
      </c>
      <c r="C481" s="15" t="s">
        <v>8</v>
      </c>
      <c r="D481" s="15" t="s">
        <v>16</v>
      </c>
      <c r="E481" s="16">
        <v>9.18</v>
      </c>
      <c r="F481" s="15" t="s">
        <v>11</v>
      </c>
      <c r="G481" s="15">
        <v>18.36</v>
      </c>
      <c r="H481" s="17">
        <f t="shared" si="14"/>
        <v>10</v>
      </c>
      <c r="I481" s="17">
        <f>YEAR(Sheet1!$A481)</f>
        <v>2024</v>
      </c>
      <c r="J481" s="17">
        <f>DAY(Sheet1!$A481)</f>
        <v>19</v>
      </c>
      <c r="K481" s="18" t="s">
        <v>2023</v>
      </c>
      <c r="L481" s="19" t="str">
        <f t="shared" si="15"/>
        <v>Regular Customer</v>
      </c>
    </row>
    <row r="482" spans="1:12" ht="15.75" customHeight="1" x14ac:dyDescent="0.3">
      <c r="A482" s="7">
        <v>45433</v>
      </c>
      <c r="B482" s="8" t="s">
        <v>1037</v>
      </c>
      <c r="C482" s="8" t="s">
        <v>18</v>
      </c>
      <c r="D482" s="8" t="s">
        <v>14</v>
      </c>
      <c r="E482" s="9">
        <v>6.14</v>
      </c>
      <c r="F482" s="8" t="s">
        <v>11</v>
      </c>
      <c r="G482" s="8">
        <v>18.420000000000002</v>
      </c>
      <c r="H482" s="10">
        <f t="shared" si="14"/>
        <v>5</v>
      </c>
      <c r="I482" s="10">
        <f>YEAR(Sheet1!$A482)</f>
        <v>2024</v>
      </c>
      <c r="J482" s="10">
        <f>DAY(Sheet1!$A482)</f>
        <v>21</v>
      </c>
      <c r="K482" s="12" t="s">
        <v>2023</v>
      </c>
      <c r="L482" s="13" t="str">
        <f t="shared" si="15"/>
        <v>Regular Customer</v>
      </c>
    </row>
    <row r="483" spans="1:12" ht="15.75" customHeight="1" x14ac:dyDescent="0.3">
      <c r="A483" s="14">
        <v>45630</v>
      </c>
      <c r="B483" s="15" t="s">
        <v>453</v>
      </c>
      <c r="C483" s="15" t="s">
        <v>24</v>
      </c>
      <c r="D483" s="15" t="s">
        <v>9</v>
      </c>
      <c r="E483" s="16">
        <v>9.2100000000000009</v>
      </c>
      <c r="F483" s="15" t="s">
        <v>11</v>
      </c>
      <c r="G483" s="15">
        <v>18.420000000000002</v>
      </c>
      <c r="H483" s="17">
        <f t="shared" si="14"/>
        <v>12</v>
      </c>
      <c r="I483" s="17">
        <f>YEAR(Sheet1!$A483)</f>
        <v>2024</v>
      </c>
      <c r="J483" s="17">
        <f>DAY(Sheet1!$A483)</f>
        <v>4</v>
      </c>
      <c r="K483" s="18" t="s">
        <v>2022</v>
      </c>
      <c r="L483" s="19" t="str">
        <f t="shared" si="15"/>
        <v>Regular Customer</v>
      </c>
    </row>
    <row r="484" spans="1:12" ht="15.75" customHeight="1" x14ac:dyDescent="0.3">
      <c r="A484" s="7">
        <v>45489</v>
      </c>
      <c r="B484" s="8" t="s">
        <v>221</v>
      </c>
      <c r="C484" s="8" t="s">
        <v>8</v>
      </c>
      <c r="D484" s="8" t="s">
        <v>19</v>
      </c>
      <c r="E484" s="9">
        <v>18.440000000000001</v>
      </c>
      <c r="F484" s="8" t="s">
        <v>11</v>
      </c>
      <c r="G484" s="8">
        <v>18.440000000000001</v>
      </c>
      <c r="H484" s="10">
        <f t="shared" si="14"/>
        <v>7</v>
      </c>
      <c r="I484" s="10">
        <f>YEAR(Sheet1!$A484)</f>
        <v>2024</v>
      </c>
      <c r="J484" s="10">
        <f>DAY(Sheet1!$A484)</f>
        <v>16</v>
      </c>
      <c r="K484" s="12" t="s">
        <v>2023</v>
      </c>
      <c r="L484" s="13" t="str">
        <f t="shared" si="15"/>
        <v>Regular Customer</v>
      </c>
    </row>
    <row r="485" spans="1:12" ht="15.75" customHeight="1" x14ac:dyDescent="0.3">
      <c r="A485" s="14">
        <v>45599</v>
      </c>
      <c r="B485" s="15" t="s">
        <v>1684</v>
      </c>
      <c r="C485" s="15" t="s">
        <v>8</v>
      </c>
      <c r="D485" s="15" t="s">
        <v>19</v>
      </c>
      <c r="E485" s="16">
        <v>18.52</v>
      </c>
      <c r="F485" s="15" t="s">
        <v>11</v>
      </c>
      <c r="G485" s="15">
        <v>18.52</v>
      </c>
      <c r="H485" s="17">
        <f t="shared" si="14"/>
        <v>11</v>
      </c>
      <c r="I485" s="17">
        <f>YEAR(Sheet1!$A485)</f>
        <v>2024</v>
      </c>
      <c r="J485" s="17">
        <f>DAY(Sheet1!$A485)</f>
        <v>3</v>
      </c>
      <c r="K485" s="18" t="s">
        <v>2023</v>
      </c>
      <c r="L485" s="19" t="str">
        <f t="shared" si="15"/>
        <v>Regular Customer</v>
      </c>
    </row>
    <row r="486" spans="1:12" ht="15.75" customHeight="1" x14ac:dyDescent="0.3">
      <c r="A486" s="7">
        <v>45682</v>
      </c>
      <c r="B486" s="8" t="s">
        <v>1291</v>
      </c>
      <c r="C486" s="8" t="s">
        <v>24</v>
      </c>
      <c r="D486" s="8" t="s">
        <v>14</v>
      </c>
      <c r="E486" s="9">
        <v>9.26</v>
      </c>
      <c r="F486" s="8" t="s">
        <v>11</v>
      </c>
      <c r="G486" s="8">
        <v>18.52</v>
      </c>
      <c r="H486" s="10">
        <f t="shared" si="14"/>
        <v>1</v>
      </c>
      <c r="I486" s="10">
        <f>YEAR(Sheet1!$A486)</f>
        <v>2025</v>
      </c>
      <c r="J486" s="10">
        <f>DAY(Sheet1!$A486)</f>
        <v>25</v>
      </c>
      <c r="K486" s="12" t="s">
        <v>2022</v>
      </c>
      <c r="L486" s="13" t="str">
        <f t="shared" si="15"/>
        <v>Regular Customer</v>
      </c>
    </row>
    <row r="487" spans="1:12" ht="15.75" customHeight="1" x14ac:dyDescent="0.3">
      <c r="A487" s="14">
        <v>45520</v>
      </c>
      <c r="B487" s="15" t="s">
        <v>1810</v>
      </c>
      <c r="C487" s="15" t="s">
        <v>24</v>
      </c>
      <c r="D487" s="15" t="s">
        <v>16</v>
      </c>
      <c r="E487" s="16">
        <v>18.55</v>
      </c>
      <c r="F487" s="15" t="s">
        <v>10</v>
      </c>
      <c r="G487" s="15">
        <v>18.55</v>
      </c>
      <c r="H487" s="17">
        <f t="shared" si="14"/>
        <v>8</v>
      </c>
      <c r="I487" s="17">
        <f>YEAR(Sheet1!$A487)</f>
        <v>2024</v>
      </c>
      <c r="J487" s="17">
        <f>DAY(Sheet1!$A487)</f>
        <v>16</v>
      </c>
      <c r="K487" s="18" t="s">
        <v>2023</v>
      </c>
      <c r="L487" s="19" t="str">
        <f t="shared" si="15"/>
        <v>Regular Customer</v>
      </c>
    </row>
    <row r="488" spans="1:12" ht="15.75" customHeight="1" x14ac:dyDescent="0.3">
      <c r="A488" s="7">
        <v>45726</v>
      </c>
      <c r="B488" s="8" t="s">
        <v>246</v>
      </c>
      <c r="C488" s="8" t="s">
        <v>8</v>
      </c>
      <c r="D488" s="8" t="s">
        <v>9</v>
      </c>
      <c r="E488" s="9">
        <v>18.59</v>
      </c>
      <c r="F488" s="8" t="s">
        <v>11</v>
      </c>
      <c r="G488" s="8">
        <v>18.59</v>
      </c>
      <c r="H488" s="10">
        <f t="shared" si="14"/>
        <v>3</v>
      </c>
      <c r="I488" s="10">
        <f>YEAR(Sheet1!$A488)</f>
        <v>2025</v>
      </c>
      <c r="J488" s="10">
        <f>DAY(Sheet1!$A488)</f>
        <v>10</v>
      </c>
      <c r="K488" s="12" t="s">
        <v>2022</v>
      </c>
      <c r="L488" s="13" t="str">
        <f t="shared" si="15"/>
        <v>Regular Customer</v>
      </c>
    </row>
    <row r="489" spans="1:12" ht="15.75" customHeight="1" x14ac:dyDescent="0.3">
      <c r="A489" s="14">
        <v>45473</v>
      </c>
      <c r="B489" s="15" t="s">
        <v>1379</v>
      </c>
      <c r="C489" s="15" t="s">
        <v>13</v>
      </c>
      <c r="D489" s="15" t="s">
        <v>16</v>
      </c>
      <c r="E489" s="16">
        <v>18.61</v>
      </c>
      <c r="F489" s="15" t="s">
        <v>10</v>
      </c>
      <c r="G489" s="15">
        <v>18.61</v>
      </c>
      <c r="H489" s="17">
        <f t="shared" si="14"/>
        <v>6</v>
      </c>
      <c r="I489" s="17">
        <f>YEAR(Sheet1!$A489)</f>
        <v>2024</v>
      </c>
      <c r="J489" s="17">
        <f>DAY(Sheet1!$A489)</f>
        <v>30</v>
      </c>
      <c r="K489" s="18" t="s">
        <v>2022</v>
      </c>
      <c r="L489" s="19" t="str">
        <f t="shared" si="15"/>
        <v>Regular Customer</v>
      </c>
    </row>
    <row r="490" spans="1:12" ht="15.75" customHeight="1" x14ac:dyDescent="0.3">
      <c r="A490" s="7">
        <v>45472</v>
      </c>
      <c r="B490" s="8" t="s">
        <v>1566</v>
      </c>
      <c r="C490" s="8" t="s">
        <v>24</v>
      </c>
      <c r="D490" s="8" t="s">
        <v>19</v>
      </c>
      <c r="E490" s="9">
        <v>18.649999999999999</v>
      </c>
      <c r="F490" s="8" t="s">
        <v>10</v>
      </c>
      <c r="G490" s="8">
        <v>18.649999999999999</v>
      </c>
      <c r="H490" s="10">
        <f t="shared" si="14"/>
        <v>6</v>
      </c>
      <c r="I490" s="10">
        <f>YEAR(Sheet1!$A490)</f>
        <v>2024</v>
      </c>
      <c r="J490" s="10">
        <f>DAY(Sheet1!$A490)</f>
        <v>29</v>
      </c>
      <c r="K490" s="12" t="s">
        <v>2022</v>
      </c>
      <c r="L490" s="13" t="str">
        <f t="shared" si="15"/>
        <v>Regular Customer</v>
      </c>
    </row>
    <row r="491" spans="1:12" ht="15.75" customHeight="1" x14ac:dyDescent="0.3">
      <c r="A491" s="14">
        <v>45590</v>
      </c>
      <c r="B491" s="15" t="s">
        <v>883</v>
      </c>
      <c r="C491" s="15" t="s">
        <v>24</v>
      </c>
      <c r="D491" s="15" t="s">
        <v>9</v>
      </c>
      <c r="E491" s="16">
        <v>18.66</v>
      </c>
      <c r="F491" s="15" t="s">
        <v>11</v>
      </c>
      <c r="G491" s="15">
        <v>18.66</v>
      </c>
      <c r="H491" s="17">
        <f t="shared" si="14"/>
        <v>10</v>
      </c>
      <c r="I491" s="17">
        <f>YEAR(Sheet1!$A491)</f>
        <v>2024</v>
      </c>
      <c r="J491" s="17">
        <f>DAY(Sheet1!$A491)</f>
        <v>25</v>
      </c>
      <c r="K491" s="18" t="s">
        <v>2022</v>
      </c>
      <c r="L491" s="19" t="str">
        <f t="shared" si="15"/>
        <v>Regular Customer</v>
      </c>
    </row>
    <row r="492" spans="1:12" ht="15.75" customHeight="1" x14ac:dyDescent="0.3">
      <c r="A492" s="7">
        <v>45644</v>
      </c>
      <c r="B492" s="8" t="s">
        <v>67</v>
      </c>
      <c r="C492" s="8" t="s">
        <v>24</v>
      </c>
      <c r="D492" s="8" t="s">
        <v>14</v>
      </c>
      <c r="E492" s="9">
        <v>18.7</v>
      </c>
      <c r="F492" s="8" t="s">
        <v>11</v>
      </c>
      <c r="G492" s="8">
        <v>18.7</v>
      </c>
      <c r="H492" s="10">
        <f t="shared" si="14"/>
        <v>12</v>
      </c>
      <c r="I492" s="10">
        <f>YEAR(Sheet1!$A492)</f>
        <v>2024</v>
      </c>
      <c r="J492" s="10">
        <f>DAY(Sheet1!$A492)</f>
        <v>18</v>
      </c>
      <c r="K492" s="12" t="s">
        <v>2022</v>
      </c>
      <c r="L492" s="13" t="str">
        <f t="shared" si="15"/>
        <v>Regular Customer</v>
      </c>
    </row>
    <row r="493" spans="1:12" ht="15.75" customHeight="1" x14ac:dyDescent="0.3">
      <c r="A493" s="14">
        <v>45697</v>
      </c>
      <c r="B493" s="15" t="s">
        <v>1319</v>
      </c>
      <c r="C493" s="15" t="s">
        <v>24</v>
      </c>
      <c r="D493" s="15" t="s">
        <v>19</v>
      </c>
      <c r="E493" s="16">
        <v>9.35</v>
      </c>
      <c r="F493" s="15" t="s">
        <v>10</v>
      </c>
      <c r="G493" s="15">
        <v>18.7</v>
      </c>
      <c r="H493" s="17">
        <f t="shared" si="14"/>
        <v>2</v>
      </c>
      <c r="I493" s="17">
        <f>YEAR(Sheet1!$A493)</f>
        <v>2025</v>
      </c>
      <c r="J493" s="17">
        <f>DAY(Sheet1!$A493)</f>
        <v>9</v>
      </c>
      <c r="K493" s="18" t="s">
        <v>2022</v>
      </c>
      <c r="L493" s="19" t="str">
        <f t="shared" si="15"/>
        <v>Regular Customer</v>
      </c>
    </row>
    <row r="494" spans="1:12" ht="15.75" customHeight="1" x14ac:dyDescent="0.3">
      <c r="A494" s="7">
        <v>45530</v>
      </c>
      <c r="B494" s="8" t="s">
        <v>619</v>
      </c>
      <c r="C494" s="8" t="s">
        <v>24</v>
      </c>
      <c r="D494" s="8" t="s">
        <v>19</v>
      </c>
      <c r="E494" s="9">
        <v>6.24</v>
      </c>
      <c r="F494" s="8" t="s">
        <v>11</v>
      </c>
      <c r="G494" s="8">
        <v>18.72</v>
      </c>
      <c r="H494" s="10">
        <f t="shared" si="14"/>
        <v>8</v>
      </c>
      <c r="I494" s="10">
        <f>YEAR(Sheet1!$A494)</f>
        <v>2024</v>
      </c>
      <c r="J494" s="10">
        <f>DAY(Sheet1!$A494)</f>
        <v>26</v>
      </c>
      <c r="K494" s="12" t="s">
        <v>2022</v>
      </c>
      <c r="L494" s="13" t="str">
        <f t="shared" si="15"/>
        <v>Regular Customer</v>
      </c>
    </row>
    <row r="495" spans="1:12" ht="15.75" customHeight="1" x14ac:dyDescent="0.3">
      <c r="A495" s="14">
        <v>45508</v>
      </c>
      <c r="B495" s="15" t="s">
        <v>1360</v>
      </c>
      <c r="C495" s="15" t="s">
        <v>24</v>
      </c>
      <c r="D495" s="15" t="s">
        <v>19</v>
      </c>
      <c r="E495" s="16">
        <v>9.3699999999999992</v>
      </c>
      <c r="F495" s="15" t="s">
        <v>11</v>
      </c>
      <c r="G495" s="15">
        <v>18.739999999999998</v>
      </c>
      <c r="H495" s="17">
        <f t="shared" si="14"/>
        <v>8</v>
      </c>
      <c r="I495" s="17">
        <f>YEAR(Sheet1!$A495)</f>
        <v>2024</v>
      </c>
      <c r="J495" s="17">
        <f>DAY(Sheet1!$A495)</f>
        <v>4</v>
      </c>
      <c r="K495" s="18" t="s">
        <v>2022</v>
      </c>
      <c r="L495" s="19" t="str">
        <f t="shared" si="15"/>
        <v>Regular Customer</v>
      </c>
    </row>
    <row r="496" spans="1:12" ht="15.75" customHeight="1" x14ac:dyDescent="0.3">
      <c r="A496" s="7">
        <v>45576</v>
      </c>
      <c r="B496" s="8" t="s">
        <v>986</v>
      </c>
      <c r="C496" s="8" t="s">
        <v>24</v>
      </c>
      <c r="D496" s="8" t="s">
        <v>14</v>
      </c>
      <c r="E496" s="9">
        <v>18.739999999999998</v>
      </c>
      <c r="F496" s="8" t="s">
        <v>10</v>
      </c>
      <c r="G496" s="8">
        <v>18.739999999999998</v>
      </c>
      <c r="H496" s="10">
        <f t="shared" si="14"/>
        <v>10</v>
      </c>
      <c r="I496" s="10">
        <f>YEAR(Sheet1!$A496)</f>
        <v>2024</v>
      </c>
      <c r="J496" s="10">
        <f>DAY(Sheet1!$A496)</f>
        <v>11</v>
      </c>
      <c r="K496" s="12" t="s">
        <v>2023</v>
      </c>
      <c r="L496" s="13" t="str">
        <f t="shared" si="15"/>
        <v>Regular Customer</v>
      </c>
    </row>
    <row r="497" spans="1:12" ht="15.75" customHeight="1" x14ac:dyDescent="0.3">
      <c r="A497" s="14">
        <v>45427</v>
      </c>
      <c r="B497" s="15" t="s">
        <v>1513</v>
      </c>
      <c r="C497" s="15" t="s">
        <v>24</v>
      </c>
      <c r="D497" s="15" t="s">
        <v>14</v>
      </c>
      <c r="E497" s="16">
        <v>9.3800000000000008</v>
      </c>
      <c r="F497" s="15" t="s">
        <v>10</v>
      </c>
      <c r="G497" s="15">
        <v>18.760000000000002</v>
      </c>
      <c r="H497" s="17">
        <f t="shared" si="14"/>
        <v>5</v>
      </c>
      <c r="I497" s="17">
        <f>YEAR(Sheet1!$A497)</f>
        <v>2024</v>
      </c>
      <c r="J497" s="17">
        <f>DAY(Sheet1!$A497)</f>
        <v>15</v>
      </c>
      <c r="K497" s="18" t="s">
        <v>2023</v>
      </c>
      <c r="L497" s="19" t="str">
        <f t="shared" si="15"/>
        <v>Regular Customer</v>
      </c>
    </row>
    <row r="498" spans="1:12" ht="15.75" customHeight="1" x14ac:dyDescent="0.3">
      <c r="A498" s="7">
        <v>45555</v>
      </c>
      <c r="B498" s="8" t="s">
        <v>1292</v>
      </c>
      <c r="C498" s="8" t="s">
        <v>24</v>
      </c>
      <c r="D498" s="8" t="s">
        <v>16</v>
      </c>
      <c r="E498" s="9">
        <v>18.760000000000002</v>
      </c>
      <c r="F498" s="8" t="s">
        <v>11</v>
      </c>
      <c r="G498" s="8">
        <v>18.760000000000002</v>
      </c>
      <c r="H498" s="10">
        <f t="shared" si="14"/>
        <v>9</v>
      </c>
      <c r="I498" s="10">
        <f>YEAR(Sheet1!$A498)</f>
        <v>2024</v>
      </c>
      <c r="J498" s="10">
        <f>DAY(Sheet1!$A498)</f>
        <v>20</v>
      </c>
      <c r="K498" s="12" t="s">
        <v>2023</v>
      </c>
      <c r="L498" s="13" t="str">
        <f t="shared" si="15"/>
        <v>Regular Customer</v>
      </c>
    </row>
    <row r="499" spans="1:12" ht="15.75" customHeight="1" x14ac:dyDescent="0.3">
      <c r="A499" s="14">
        <v>45609</v>
      </c>
      <c r="B499" s="15" t="s">
        <v>785</v>
      </c>
      <c r="C499" s="15" t="s">
        <v>18</v>
      </c>
      <c r="D499" s="15" t="s">
        <v>19</v>
      </c>
      <c r="E499" s="16">
        <v>18.77</v>
      </c>
      <c r="F499" s="15" t="s">
        <v>10</v>
      </c>
      <c r="G499" s="15">
        <v>18.77</v>
      </c>
      <c r="H499" s="17">
        <f t="shared" si="14"/>
        <v>11</v>
      </c>
      <c r="I499" s="17">
        <f>YEAR(Sheet1!$A499)</f>
        <v>2024</v>
      </c>
      <c r="J499" s="17">
        <f>DAY(Sheet1!$A499)</f>
        <v>13</v>
      </c>
      <c r="K499" s="18" t="s">
        <v>2022</v>
      </c>
      <c r="L499" s="19" t="str">
        <f t="shared" si="15"/>
        <v>Regular Customer</v>
      </c>
    </row>
    <row r="500" spans="1:12" ht="15.75" customHeight="1" x14ac:dyDescent="0.3">
      <c r="A500" s="7">
        <v>45630</v>
      </c>
      <c r="B500" s="8" t="s">
        <v>814</v>
      </c>
      <c r="C500" s="8" t="s">
        <v>13</v>
      </c>
      <c r="D500" s="8" t="s">
        <v>19</v>
      </c>
      <c r="E500" s="9">
        <v>6.26</v>
      </c>
      <c r="F500" s="8" t="s">
        <v>10</v>
      </c>
      <c r="G500" s="8">
        <v>18.78</v>
      </c>
      <c r="H500" s="10">
        <f t="shared" si="14"/>
        <v>12</v>
      </c>
      <c r="I500" s="10">
        <f>YEAR(Sheet1!$A500)</f>
        <v>2024</v>
      </c>
      <c r="J500" s="10">
        <f>DAY(Sheet1!$A500)</f>
        <v>4</v>
      </c>
      <c r="K500" s="12" t="s">
        <v>2023</v>
      </c>
      <c r="L500" s="13" t="str">
        <f t="shared" si="15"/>
        <v>Regular Customer</v>
      </c>
    </row>
    <row r="501" spans="1:12" ht="15.75" customHeight="1" x14ac:dyDescent="0.3">
      <c r="A501" s="14">
        <v>45766</v>
      </c>
      <c r="B501" s="15" t="s">
        <v>384</v>
      </c>
      <c r="C501" s="15" t="s">
        <v>18</v>
      </c>
      <c r="D501" s="15" t="s">
        <v>16</v>
      </c>
      <c r="E501" s="16">
        <v>18.79</v>
      </c>
      <c r="F501" s="15" t="s">
        <v>11</v>
      </c>
      <c r="G501" s="15">
        <v>18.79</v>
      </c>
      <c r="H501" s="17">
        <f t="shared" si="14"/>
        <v>4</v>
      </c>
      <c r="I501" s="17">
        <f>YEAR(Sheet1!$A501)</f>
        <v>2025</v>
      </c>
      <c r="J501" s="17">
        <f>DAY(Sheet1!$A501)</f>
        <v>19</v>
      </c>
      <c r="K501" s="18" t="s">
        <v>2023</v>
      </c>
      <c r="L501" s="19" t="str">
        <f t="shared" si="15"/>
        <v>Regular Customer</v>
      </c>
    </row>
    <row r="502" spans="1:12" ht="15.75" customHeight="1" x14ac:dyDescent="0.3">
      <c r="A502" s="7">
        <v>45450</v>
      </c>
      <c r="B502" s="8" t="s">
        <v>675</v>
      </c>
      <c r="C502" s="8" t="s">
        <v>13</v>
      </c>
      <c r="D502" s="8" t="s">
        <v>9</v>
      </c>
      <c r="E502" s="9">
        <v>6.27</v>
      </c>
      <c r="F502" s="8" t="s">
        <v>11</v>
      </c>
      <c r="G502" s="8">
        <v>18.809999999999999</v>
      </c>
      <c r="H502" s="10">
        <f t="shared" si="14"/>
        <v>6</v>
      </c>
      <c r="I502" s="10">
        <f>YEAR(Sheet1!$A502)</f>
        <v>2024</v>
      </c>
      <c r="J502" s="10">
        <f>DAY(Sheet1!$A502)</f>
        <v>7</v>
      </c>
      <c r="K502" s="12" t="s">
        <v>2023</v>
      </c>
      <c r="L502" s="13" t="str">
        <f t="shared" si="15"/>
        <v>Regular Customer</v>
      </c>
    </row>
    <row r="503" spans="1:12" ht="15.75" customHeight="1" x14ac:dyDescent="0.3">
      <c r="A503" s="14">
        <v>45516</v>
      </c>
      <c r="B503" s="15" t="s">
        <v>830</v>
      </c>
      <c r="C503" s="15" t="s">
        <v>8</v>
      </c>
      <c r="D503" s="15" t="s">
        <v>19</v>
      </c>
      <c r="E503" s="16">
        <v>6.27</v>
      </c>
      <c r="F503" s="15" t="s">
        <v>10</v>
      </c>
      <c r="G503" s="15">
        <v>18.809999999999999</v>
      </c>
      <c r="H503" s="17">
        <f t="shared" si="14"/>
        <v>8</v>
      </c>
      <c r="I503" s="17">
        <f>YEAR(Sheet1!$A503)</f>
        <v>2024</v>
      </c>
      <c r="J503" s="17">
        <f>DAY(Sheet1!$A503)</f>
        <v>12</v>
      </c>
      <c r="K503" s="18" t="s">
        <v>2023</v>
      </c>
      <c r="L503" s="19" t="str">
        <f t="shared" si="15"/>
        <v>Regular Customer</v>
      </c>
    </row>
    <row r="504" spans="1:12" ht="15.75" customHeight="1" x14ac:dyDescent="0.3">
      <c r="A504" s="7">
        <v>45756</v>
      </c>
      <c r="B504" s="8" t="s">
        <v>491</v>
      </c>
      <c r="C504" s="8" t="s">
        <v>13</v>
      </c>
      <c r="D504" s="8" t="s">
        <v>9</v>
      </c>
      <c r="E504" s="9">
        <v>18.809999999999999</v>
      </c>
      <c r="F504" s="8" t="s">
        <v>11</v>
      </c>
      <c r="G504" s="8">
        <v>18.809999999999999</v>
      </c>
      <c r="H504" s="10">
        <f t="shared" si="14"/>
        <v>4</v>
      </c>
      <c r="I504" s="10">
        <f>YEAR(Sheet1!$A504)</f>
        <v>2025</v>
      </c>
      <c r="J504" s="10">
        <f>DAY(Sheet1!$A504)</f>
        <v>9</v>
      </c>
      <c r="K504" s="12" t="s">
        <v>2022</v>
      </c>
      <c r="L504" s="13" t="str">
        <f t="shared" si="15"/>
        <v>Regular Customer</v>
      </c>
    </row>
    <row r="505" spans="1:12" ht="15.75" customHeight="1" x14ac:dyDescent="0.3">
      <c r="A505" s="14">
        <v>45624</v>
      </c>
      <c r="B505" s="15" t="s">
        <v>659</v>
      </c>
      <c r="C505" s="15" t="s">
        <v>8</v>
      </c>
      <c r="D505" s="15" t="s">
        <v>14</v>
      </c>
      <c r="E505" s="16">
        <v>18.829999999999998</v>
      </c>
      <c r="F505" s="15" t="s">
        <v>11</v>
      </c>
      <c r="G505" s="15">
        <v>18.829999999999998</v>
      </c>
      <c r="H505" s="17">
        <f t="shared" si="14"/>
        <v>11</v>
      </c>
      <c r="I505" s="17">
        <f>YEAR(Sheet1!$A505)</f>
        <v>2024</v>
      </c>
      <c r="J505" s="17">
        <f>DAY(Sheet1!$A505)</f>
        <v>28</v>
      </c>
      <c r="K505" s="18" t="s">
        <v>2023</v>
      </c>
      <c r="L505" s="19" t="str">
        <f t="shared" si="15"/>
        <v>Regular Customer</v>
      </c>
    </row>
    <row r="506" spans="1:12" ht="15.75" customHeight="1" x14ac:dyDescent="0.3">
      <c r="A506" s="7">
        <v>45456</v>
      </c>
      <c r="B506" s="8" t="s">
        <v>473</v>
      </c>
      <c r="C506" s="8" t="s">
        <v>8</v>
      </c>
      <c r="D506" s="8" t="s">
        <v>9</v>
      </c>
      <c r="E506" s="9">
        <v>18.87</v>
      </c>
      <c r="F506" s="8" t="s">
        <v>11</v>
      </c>
      <c r="G506" s="8">
        <v>18.87</v>
      </c>
      <c r="H506" s="10">
        <f t="shared" si="14"/>
        <v>6</v>
      </c>
      <c r="I506" s="10">
        <f>YEAR(Sheet1!$A506)</f>
        <v>2024</v>
      </c>
      <c r="J506" s="10">
        <f>DAY(Sheet1!$A506)</f>
        <v>13</v>
      </c>
      <c r="K506" s="12" t="s">
        <v>2022</v>
      </c>
      <c r="L506" s="13" t="str">
        <f t="shared" si="15"/>
        <v>Regular Customer</v>
      </c>
    </row>
    <row r="507" spans="1:12" ht="15.75" customHeight="1" x14ac:dyDescent="0.3">
      <c r="A507" s="14">
        <v>45597</v>
      </c>
      <c r="B507" s="15" t="s">
        <v>975</v>
      </c>
      <c r="C507" s="15" t="s">
        <v>24</v>
      </c>
      <c r="D507" s="15" t="s">
        <v>14</v>
      </c>
      <c r="E507" s="16">
        <v>9.4499999999999993</v>
      </c>
      <c r="F507" s="15" t="s">
        <v>10</v>
      </c>
      <c r="G507" s="15">
        <v>18.899999999999999</v>
      </c>
      <c r="H507" s="17">
        <f t="shared" si="14"/>
        <v>11</v>
      </c>
      <c r="I507" s="17">
        <f>YEAR(Sheet1!$A507)</f>
        <v>2024</v>
      </c>
      <c r="J507" s="17">
        <f>DAY(Sheet1!$A507)</f>
        <v>1</v>
      </c>
      <c r="K507" s="18" t="s">
        <v>2022</v>
      </c>
      <c r="L507" s="19" t="str">
        <f t="shared" si="15"/>
        <v>Regular Customer</v>
      </c>
    </row>
    <row r="508" spans="1:12" ht="15.75" customHeight="1" x14ac:dyDescent="0.3">
      <c r="A508" s="7">
        <v>45572</v>
      </c>
      <c r="B508" s="8" t="s">
        <v>334</v>
      </c>
      <c r="C508" s="8" t="s">
        <v>8</v>
      </c>
      <c r="D508" s="8" t="s">
        <v>9</v>
      </c>
      <c r="E508" s="9">
        <v>18.93</v>
      </c>
      <c r="F508" s="8" t="s">
        <v>11</v>
      </c>
      <c r="G508" s="8">
        <v>18.93</v>
      </c>
      <c r="H508" s="10">
        <f t="shared" si="14"/>
        <v>10</v>
      </c>
      <c r="I508" s="10">
        <f>YEAR(Sheet1!$A508)</f>
        <v>2024</v>
      </c>
      <c r="J508" s="10">
        <f>DAY(Sheet1!$A508)</f>
        <v>7</v>
      </c>
      <c r="K508" s="12" t="s">
        <v>2022</v>
      </c>
      <c r="L508" s="13" t="str">
        <f t="shared" si="15"/>
        <v>Regular Customer</v>
      </c>
    </row>
    <row r="509" spans="1:12" ht="15.75" customHeight="1" x14ac:dyDescent="0.3">
      <c r="A509" s="14">
        <v>45639</v>
      </c>
      <c r="B509" s="15" t="s">
        <v>286</v>
      </c>
      <c r="C509" s="15" t="s">
        <v>18</v>
      </c>
      <c r="D509" s="15" t="s">
        <v>9</v>
      </c>
      <c r="E509" s="16">
        <v>6.31</v>
      </c>
      <c r="F509" s="15" t="s">
        <v>10</v>
      </c>
      <c r="G509" s="15">
        <v>18.93</v>
      </c>
      <c r="H509" s="17">
        <f t="shared" si="14"/>
        <v>12</v>
      </c>
      <c r="I509" s="17">
        <f>YEAR(Sheet1!$A509)</f>
        <v>2024</v>
      </c>
      <c r="J509" s="17">
        <f>DAY(Sheet1!$A509)</f>
        <v>13</v>
      </c>
      <c r="K509" s="18" t="s">
        <v>2022</v>
      </c>
      <c r="L509" s="19" t="str">
        <f t="shared" si="15"/>
        <v>Regular Customer</v>
      </c>
    </row>
    <row r="510" spans="1:12" ht="15.75" customHeight="1" x14ac:dyDescent="0.3">
      <c r="A510" s="7">
        <v>45655</v>
      </c>
      <c r="B510" s="8" t="s">
        <v>1956</v>
      </c>
      <c r="C510" s="8" t="s">
        <v>18</v>
      </c>
      <c r="D510" s="8" t="s">
        <v>9</v>
      </c>
      <c r="E510" s="9">
        <v>18.95</v>
      </c>
      <c r="F510" s="8" t="s">
        <v>10</v>
      </c>
      <c r="G510" s="8">
        <v>18.95</v>
      </c>
      <c r="H510" s="10">
        <f t="shared" si="14"/>
        <v>12</v>
      </c>
      <c r="I510" s="10">
        <f>YEAR(Sheet1!$A510)</f>
        <v>2024</v>
      </c>
      <c r="J510" s="10">
        <f>DAY(Sheet1!$A510)</f>
        <v>29</v>
      </c>
      <c r="K510" s="12" t="s">
        <v>2022</v>
      </c>
      <c r="L510" s="13" t="str">
        <f t="shared" si="15"/>
        <v>Regular Customer</v>
      </c>
    </row>
    <row r="511" spans="1:12" ht="15.75" customHeight="1" x14ac:dyDescent="0.3">
      <c r="A511" s="14">
        <v>45424</v>
      </c>
      <c r="B511" s="15" t="s">
        <v>99</v>
      </c>
      <c r="C511" s="15" t="s">
        <v>24</v>
      </c>
      <c r="D511" s="15" t="s">
        <v>19</v>
      </c>
      <c r="E511" s="16">
        <v>18.97</v>
      </c>
      <c r="F511" s="15" t="s">
        <v>11</v>
      </c>
      <c r="G511" s="15">
        <v>18.97</v>
      </c>
      <c r="H511" s="17">
        <f t="shared" si="14"/>
        <v>5</v>
      </c>
      <c r="I511" s="17">
        <f>YEAR(Sheet1!$A511)</f>
        <v>2024</v>
      </c>
      <c r="J511" s="17">
        <f>DAY(Sheet1!$A511)</f>
        <v>12</v>
      </c>
      <c r="K511" s="18" t="s">
        <v>2022</v>
      </c>
      <c r="L511" s="19" t="str">
        <f t="shared" si="15"/>
        <v>Regular Customer</v>
      </c>
    </row>
    <row r="512" spans="1:12" ht="15.75" customHeight="1" x14ac:dyDescent="0.3">
      <c r="A512" s="7">
        <v>45557</v>
      </c>
      <c r="B512" s="8" t="s">
        <v>616</v>
      </c>
      <c r="C512" s="8" t="s">
        <v>24</v>
      </c>
      <c r="D512" s="8" t="s">
        <v>14</v>
      </c>
      <c r="E512" s="9">
        <v>9.49</v>
      </c>
      <c r="F512" s="8" t="s">
        <v>10</v>
      </c>
      <c r="G512" s="8">
        <v>18.98</v>
      </c>
      <c r="H512" s="10">
        <f t="shared" si="14"/>
        <v>9</v>
      </c>
      <c r="I512" s="10">
        <f>YEAR(Sheet1!$A512)</f>
        <v>2024</v>
      </c>
      <c r="J512" s="10">
        <f>DAY(Sheet1!$A512)</f>
        <v>22</v>
      </c>
      <c r="K512" s="12" t="s">
        <v>2023</v>
      </c>
      <c r="L512" s="13" t="str">
        <f t="shared" si="15"/>
        <v>Regular Customer</v>
      </c>
    </row>
    <row r="513" spans="1:12" ht="15.75" customHeight="1" x14ac:dyDescent="0.3">
      <c r="A513" s="14">
        <v>45605</v>
      </c>
      <c r="B513" s="15" t="s">
        <v>1035</v>
      </c>
      <c r="C513" s="15" t="s">
        <v>8</v>
      </c>
      <c r="D513" s="15" t="s">
        <v>19</v>
      </c>
      <c r="E513" s="16">
        <v>18.98</v>
      </c>
      <c r="F513" s="15" t="s">
        <v>10</v>
      </c>
      <c r="G513" s="15">
        <v>18.98</v>
      </c>
      <c r="H513" s="17">
        <f t="shared" si="14"/>
        <v>11</v>
      </c>
      <c r="I513" s="17">
        <f>YEAR(Sheet1!$A513)</f>
        <v>2024</v>
      </c>
      <c r="J513" s="17">
        <f>DAY(Sheet1!$A513)</f>
        <v>9</v>
      </c>
      <c r="K513" s="18" t="s">
        <v>2023</v>
      </c>
      <c r="L513" s="19" t="str">
        <f t="shared" si="15"/>
        <v>Regular Customer</v>
      </c>
    </row>
    <row r="514" spans="1:12" ht="15.75" customHeight="1" x14ac:dyDescent="0.3">
      <c r="A514" s="7">
        <v>45592</v>
      </c>
      <c r="B514" s="8" t="s">
        <v>1706</v>
      </c>
      <c r="C514" s="8" t="s">
        <v>24</v>
      </c>
      <c r="D514" s="8" t="s">
        <v>16</v>
      </c>
      <c r="E514" s="9">
        <v>6.34</v>
      </c>
      <c r="F514" s="8" t="s">
        <v>11</v>
      </c>
      <c r="G514" s="8">
        <v>19.02</v>
      </c>
      <c r="H514" s="10">
        <f t="shared" ref="H514:H577" si="16">MONTH(A514)</f>
        <v>10</v>
      </c>
      <c r="I514" s="10">
        <f>YEAR(Sheet1!$A514)</f>
        <v>2024</v>
      </c>
      <c r="J514" s="10">
        <f>DAY(Sheet1!$A514)</f>
        <v>27</v>
      </c>
      <c r="K514" s="12" t="s">
        <v>2022</v>
      </c>
      <c r="L514" s="13" t="str">
        <f t="shared" ref="L514:L577" si="17">IF(G514&gt;50,"Premium Customer","Regular Customer")</f>
        <v>Regular Customer</v>
      </c>
    </row>
    <row r="515" spans="1:12" ht="15.75" customHeight="1" x14ac:dyDescent="0.3">
      <c r="A515" s="14">
        <v>45465</v>
      </c>
      <c r="B515" s="15" t="s">
        <v>843</v>
      </c>
      <c r="C515" s="15" t="s">
        <v>8</v>
      </c>
      <c r="D515" s="15" t="s">
        <v>19</v>
      </c>
      <c r="E515" s="16">
        <v>9.52</v>
      </c>
      <c r="F515" s="15" t="s">
        <v>10</v>
      </c>
      <c r="G515" s="15">
        <v>19.04</v>
      </c>
      <c r="H515" s="17">
        <f t="shared" si="16"/>
        <v>6</v>
      </c>
      <c r="I515" s="17">
        <f>YEAR(Sheet1!$A515)</f>
        <v>2024</v>
      </c>
      <c r="J515" s="17">
        <f>DAY(Sheet1!$A515)</f>
        <v>22</v>
      </c>
      <c r="K515" s="18" t="s">
        <v>2022</v>
      </c>
      <c r="L515" s="19" t="str">
        <f t="shared" si="17"/>
        <v>Regular Customer</v>
      </c>
    </row>
    <row r="516" spans="1:12" ht="15.75" customHeight="1" x14ac:dyDescent="0.3">
      <c r="A516" s="7">
        <v>45615</v>
      </c>
      <c r="B516" s="8" t="s">
        <v>900</v>
      </c>
      <c r="C516" s="8" t="s">
        <v>24</v>
      </c>
      <c r="D516" s="8" t="s">
        <v>9</v>
      </c>
      <c r="E516" s="9">
        <v>9.52</v>
      </c>
      <c r="F516" s="8" t="s">
        <v>11</v>
      </c>
      <c r="G516" s="8">
        <v>19.04</v>
      </c>
      <c r="H516" s="10">
        <f t="shared" si="16"/>
        <v>11</v>
      </c>
      <c r="I516" s="10">
        <f>YEAR(Sheet1!$A516)</f>
        <v>2024</v>
      </c>
      <c r="J516" s="10">
        <f>DAY(Sheet1!$A516)</f>
        <v>19</v>
      </c>
      <c r="K516" s="12" t="s">
        <v>2022</v>
      </c>
      <c r="L516" s="13" t="str">
        <f t="shared" si="17"/>
        <v>Regular Customer</v>
      </c>
    </row>
    <row r="517" spans="1:12" ht="15.75" customHeight="1" x14ac:dyDescent="0.3">
      <c r="A517" s="14">
        <v>45513</v>
      </c>
      <c r="B517" s="15" t="s">
        <v>1739</v>
      </c>
      <c r="C517" s="15" t="s">
        <v>18</v>
      </c>
      <c r="D517" s="15" t="s">
        <v>14</v>
      </c>
      <c r="E517" s="16">
        <v>19.09</v>
      </c>
      <c r="F517" s="15" t="s">
        <v>10</v>
      </c>
      <c r="G517" s="15">
        <v>19.09</v>
      </c>
      <c r="H517" s="17">
        <f t="shared" si="16"/>
        <v>8</v>
      </c>
      <c r="I517" s="17">
        <f>YEAR(Sheet1!$A517)</f>
        <v>2024</v>
      </c>
      <c r="J517" s="17">
        <f>DAY(Sheet1!$A517)</f>
        <v>9</v>
      </c>
      <c r="K517" s="18" t="s">
        <v>2022</v>
      </c>
      <c r="L517" s="19" t="str">
        <f t="shared" si="17"/>
        <v>Regular Customer</v>
      </c>
    </row>
    <row r="518" spans="1:12" ht="15.75" customHeight="1" x14ac:dyDescent="0.3">
      <c r="A518" s="7">
        <v>45473</v>
      </c>
      <c r="B518" s="8" t="s">
        <v>1592</v>
      </c>
      <c r="C518" s="8" t="s">
        <v>13</v>
      </c>
      <c r="D518" s="8" t="s">
        <v>16</v>
      </c>
      <c r="E518" s="9">
        <v>19.100000000000001</v>
      </c>
      <c r="F518" s="8" t="s">
        <v>10</v>
      </c>
      <c r="G518" s="8">
        <v>19.100000000000001</v>
      </c>
      <c r="H518" s="10">
        <f t="shared" si="16"/>
        <v>6</v>
      </c>
      <c r="I518" s="10">
        <f>YEAR(Sheet1!$A518)</f>
        <v>2024</v>
      </c>
      <c r="J518" s="10">
        <f>DAY(Sheet1!$A518)</f>
        <v>30</v>
      </c>
      <c r="K518" s="12" t="s">
        <v>2023</v>
      </c>
      <c r="L518" s="13" t="str">
        <f t="shared" si="17"/>
        <v>Regular Customer</v>
      </c>
    </row>
    <row r="519" spans="1:12" ht="15.75" customHeight="1" x14ac:dyDescent="0.3">
      <c r="A519" s="14">
        <v>45668</v>
      </c>
      <c r="B519" s="15" t="s">
        <v>1321</v>
      </c>
      <c r="C519" s="15" t="s">
        <v>18</v>
      </c>
      <c r="D519" s="15" t="s">
        <v>9</v>
      </c>
      <c r="E519" s="16">
        <v>19.12</v>
      </c>
      <c r="F519" s="15" t="s">
        <v>11</v>
      </c>
      <c r="G519" s="15">
        <v>19.12</v>
      </c>
      <c r="H519" s="17">
        <f t="shared" si="16"/>
        <v>1</v>
      </c>
      <c r="I519" s="17">
        <f>YEAR(Sheet1!$A519)</f>
        <v>2025</v>
      </c>
      <c r="J519" s="17">
        <f>DAY(Sheet1!$A519)</f>
        <v>11</v>
      </c>
      <c r="K519" s="18" t="s">
        <v>2023</v>
      </c>
      <c r="L519" s="19" t="str">
        <f t="shared" si="17"/>
        <v>Regular Customer</v>
      </c>
    </row>
    <row r="520" spans="1:12" ht="15.75" customHeight="1" x14ac:dyDescent="0.3">
      <c r="A520" s="7">
        <v>45748</v>
      </c>
      <c r="B520" s="8" t="s">
        <v>1650</v>
      </c>
      <c r="C520" s="8" t="s">
        <v>8</v>
      </c>
      <c r="D520" s="8" t="s">
        <v>9</v>
      </c>
      <c r="E520" s="9">
        <v>19.13</v>
      </c>
      <c r="F520" s="8" t="s">
        <v>10</v>
      </c>
      <c r="G520" s="8">
        <v>19.13</v>
      </c>
      <c r="H520" s="10">
        <f t="shared" si="16"/>
        <v>4</v>
      </c>
      <c r="I520" s="10">
        <f>YEAR(Sheet1!$A520)</f>
        <v>2025</v>
      </c>
      <c r="J520" s="10">
        <f>DAY(Sheet1!$A520)</f>
        <v>1</v>
      </c>
      <c r="K520" s="12" t="s">
        <v>2022</v>
      </c>
      <c r="L520" s="13" t="str">
        <f t="shared" si="17"/>
        <v>Regular Customer</v>
      </c>
    </row>
    <row r="521" spans="1:12" ht="15.75" customHeight="1" x14ac:dyDescent="0.3">
      <c r="A521" s="14">
        <v>45449</v>
      </c>
      <c r="B521" s="15" t="s">
        <v>1491</v>
      </c>
      <c r="C521" s="15" t="s">
        <v>18</v>
      </c>
      <c r="D521" s="15" t="s">
        <v>19</v>
      </c>
      <c r="E521" s="16">
        <v>19.16</v>
      </c>
      <c r="F521" s="15" t="s">
        <v>10</v>
      </c>
      <c r="G521" s="15">
        <v>19.16</v>
      </c>
      <c r="H521" s="17">
        <f t="shared" si="16"/>
        <v>6</v>
      </c>
      <c r="I521" s="17">
        <f>YEAR(Sheet1!$A521)</f>
        <v>2024</v>
      </c>
      <c r="J521" s="17">
        <f>DAY(Sheet1!$A521)</f>
        <v>6</v>
      </c>
      <c r="K521" s="18" t="s">
        <v>2023</v>
      </c>
      <c r="L521" s="19" t="str">
        <f t="shared" si="17"/>
        <v>Regular Customer</v>
      </c>
    </row>
    <row r="522" spans="1:12" ht="15.75" customHeight="1" x14ac:dyDescent="0.3">
      <c r="A522" s="7">
        <v>45595</v>
      </c>
      <c r="B522" s="8" t="s">
        <v>1673</v>
      </c>
      <c r="C522" s="8" t="s">
        <v>13</v>
      </c>
      <c r="D522" s="8" t="s">
        <v>19</v>
      </c>
      <c r="E522" s="9">
        <v>6.39</v>
      </c>
      <c r="F522" s="8" t="s">
        <v>11</v>
      </c>
      <c r="G522" s="8">
        <v>19.170000000000002</v>
      </c>
      <c r="H522" s="10">
        <f t="shared" si="16"/>
        <v>10</v>
      </c>
      <c r="I522" s="10">
        <f>YEAR(Sheet1!$A522)</f>
        <v>2024</v>
      </c>
      <c r="J522" s="10">
        <f>DAY(Sheet1!$A522)</f>
        <v>30</v>
      </c>
      <c r="K522" s="12" t="s">
        <v>2022</v>
      </c>
      <c r="L522" s="13" t="str">
        <f t="shared" si="17"/>
        <v>Regular Customer</v>
      </c>
    </row>
    <row r="523" spans="1:12" ht="15.75" customHeight="1" x14ac:dyDescent="0.3">
      <c r="A523" s="14">
        <v>45754</v>
      </c>
      <c r="B523" s="15" t="s">
        <v>1230</v>
      </c>
      <c r="C523" s="15" t="s">
        <v>18</v>
      </c>
      <c r="D523" s="15" t="s">
        <v>16</v>
      </c>
      <c r="E523" s="16">
        <v>19.170000000000002</v>
      </c>
      <c r="F523" s="15" t="s">
        <v>10</v>
      </c>
      <c r="G523" s="15">
        <v>19.170000000000002</v>
      </c>
      <c r="H523" s="17">
        <f t="shared" si="16"/>
        <v>4</v>
      </c>
      <c r="I523" s="17">
        <f>YEAR(Sheet1!$A523)</f>
        <v>2025</v>
      </c>
      <c r="J523" s="17">
        <f>DAY(Sheet1!$A523)</f>
        <v>7</v>
      </c>
      <c r="K523" s="18" t="s">
        <v>2023</v>
      </c>
      <c r="L523" s="19" t="str">
        <f t="shared" si="17"/>
        <v>Regular Customer</v>
      </c>
    </row>
    <row r="524" spans="1:12" ht="15.75" customHeight="1" x14ac:dyDescent="0.3">
      <c r="A524" s="7">
        <v>45637</v>
      </c>
      <c r="B524" s="8" t="s">
        <v>365</v>
      </c>
      <c r="C524" s="8" t="s">
        <v>8</v>
      </c>
      <c r="D524" s="8" t="s">
        <v>9</v>
      </c>
      <c r="E524" s="9">
        <v>19.190000000000001</v>
      </c>
      <c r="F524" s="8" t="s">
        <v>11</v>
      </c>
      <c r="G524" s="8">
        <v>19.190000000000001</v>
      </c>
      <c r="H524" s="10">
        <f t="shared" si="16"/>
        <v>12</v>
      </c>
      <c r="I524" s="10">
        <f>YEAR(Sheet1!$A524)</f>
        <v>2024</v>
      </c>
      <c r="J524" s="10">
        <f>DAY(Sheet1!$A524)</f>
        <v>11</v>
      </c>
      <c r="K524" s="12" t="s">
        <v>2023</v>
      </c>
      <c r="L524" s="13" t="str">
        <f t="shared" si="17"/>
        <v>Regular Customer</v>
      </c>
    </row>
    <row r="525" spans="1:12" ht="15.75" customHeight="1" x14ac:dyDescent="0.3">
      <c r="A525" s="14">
        <v>45751</v>
      </c>
      <c r="B525" s="15" t="s">
        <v>1215</v>
      </c>
      <c r="C525" s="15" t="s">
        <v>18</v>
      </c>
      <c r="D525" s="15" t="s">
        <v>16</v>
      </c>
      <c r="E525" s="16">
        <v>6.4</v>
      </c>
      <c r="F525" s="15" t="s">
        <v>11</v>
      </c>
      <c r="G525" s="15">
        <v>19.2</v>
      </c>
      <c r="H525" s="17">
        <f t="shared" si="16"/>
        <v>4</v>
      </c>
      <c r="I525" s="17">
        <f>YEAR(Sheet1!$A525)</f>
        <v>2025</v>
      </c>
      <c r="J525" s="17">
        <f>DAY(Sheet1!$A525)</f>
        <v>4</v>
      </c>
      <c r="K525" s="18" t="s">
        <v>2022</v>
      </c>
      <c r="L525" s="19" t="str">
        <f t="shared" si="17"/>
        <v>Regular Customer</v>
      </c>
    </row>
    <row r="526" spans="1:12" ht="15.75" customHeight="1" x14ac:dyDescent="0.3">
      <c r="A526" s="7">
        <v>45517</v>
      </c>
      <c r="B526" s="8" t="s">
        <v>1840</v>
      </c>
      <c r="C526" s="8" t="s">
        <v>18</v>
      </c>
      <c r="D526" s="8" t="s">
        <v>9</v>
      </c>
      <c r="E526" s="9">
        <v>19.23</v>
      </c>
      <c r="F526" s="8" t="s">
        <v>11</v>
      </c>
      <c r="G526" s="8">
        <v>19.23</v>
      </c>
      <c r="H526" s="10">
        <f t="shared" si="16"/>
        <v>8</v>
      </c>
      <c r="I526" s="10">
        <f>YEAR(Sheet1!$A526)</f>
        <v>2024</v>
      </c>
      <c r="J526" s="10">
        <f>DAY(Sheet1!$A526)</f>
        <v>13</v>
      </c>
      <c r="K526" s="12" t="s">
        <v>2023</v>
      </c>
      <c r="L526" s="13" t="str">
        <f t="shared" si="17"/>
        <v>Regular Customer</v>
      </c>
    </row>
    <row r="527" spans="1:12" ht="15.75" customHeight="1" x14ac:dyDescent="0.3">
      <c r="A527" s="14">
        <v>45517</v>
      </c>
      <c r="B527" s="15" t="s">
        <v>447</v>
      </c>
      <c r="C527" s="15" t="s">
        <v>18</v>
      </c>
      <c r="D527" s="15" t="s">
        <v>16</v>
      </c>
      <c r="E527" s="16">
        <v>19.260000000000002</v>
      </c>
      <c r="F527" s="15" t="s">
        <v>10</v>
      </c>
      <c r="G527" s="15">
        <v>19.260000000000002</v>
      </c>
      <c r="H527" s="17">
        <f t="shared" si="16"/>
        <v>8</v>
      </c>
      <c r="I527" s="17">
        <f>YEAR(Sheet1!$A527)</f>
        <v>2024</v>
      </c>
      <c r="J527" s="17">
        <f>DAY(Sheet1!$A527)</f>
        <v>13</v>
      </c>
      <c r="K527" s="18" t="s">
        <v>2023</v>
      </c>
      <c r="L527" s="19" t="str">
        <f t="shared" si="17"/>
        <v>Regular Customer</v>
      </c>
    </row>
    <row r="528" spans="1:12" ht="15.75" customHeight="1" x14ac:dyDescent="0.3">
      <c r="A528" s="7">
        <v>45755</v>
      </c>
      <c r="B528" s="8" t="s">
        <v>1132</v>
      </c>
      <c r="C528" s="8" t="s">
        <v>13</v>
      </c>
      <c r="D528" s="8" t="s">
        <v>16</v>
      </c>
      <c r="E528" s="9">
        <v>6.42</v>
      </c>
      <c r="F528" s="8" t="s">
        <v>11</v>
      </c>
      <c r="G528" s="8">
        <v>19.260000000000002</v>
      </c>
      <c r="H528" s="10">
        <f t="shared" si="16"/>
        <v>4</v>
      </c>
      <c r="I528" s="10">
        <f>YEAR(Sheet1!$A528)</f>
        <v>2025</v>
      </c>
      <c r="J528" s="10">
        <f>DAY(Sheet1!$A528)</f>
        <v>8</v>
      </c>
      <c r="K528" s="12" t="s">
        <v>2022</v>
      </c>
      <c r="L528" s="13" t="str">
        <f t="shared" si="17"/>
        <v>Regular Customer</v>
      </c>
    </row>
    <row r="529" spans="1:12" ht="15.75" customHeight="1" x14ac:dyDescent="0.3">
      <c r="A529" s="14">
        <v>45723</v>
      </c>
      <c r="B529" s="15" t="s">
        <v>374</v>
      </c>
      <c r="C529" s="15" t="s">
        <v>13</v>
      </c>
      <c r="D529" s="15" t="s">
        <v>9</v>
      </c>
      <c r="E529" s="16">
        <v>19.27</v>
      </c>
      <c r="F529" s="15" t="s">
        <v>10</v>
      </c>
      <c r="G529" s="15">
        <v>19.27</v>
      </c>
      <c r="H529" s="17">
        <f t="shared" si="16"/>
        <v>3</v>
      </c>
      <c r="I529" s="17">
        <f>YEAR(Sheet1!$A529)</f>
        <v>2025</v>
      </c>
      <c r="J529" s="17">
        <f>DAY(Sheet1!$A529)</f>
        <v>7</v>
      </c>
      <c r="K529" s="18" t="s">
        <v>2023</v>
      </c>
      <c r="L529" s="19" t="str">
        <f t="shared" si="17"/>
        <v>Regular Customer</v>
      </c>
    </row>
    <row r="530" spans="1:12" ht="15.75" customHeight="1" x14ac:dyDescent="0.3">
      <c r="A530" s="7">
        <v>45630</v>
      </c>
      <c r="B530" s="8" t="s">
        <v>680</v>
      </c>
      <c r="C530" s="8" t="s">
        <v>13</v>
      </c>
      <c r="D530" s="8" t="s">
        <v>14</v>
      </c>
      <c r="E530" s="9">
        <v>9.64</v>
      </c>
      <c r="F530" s="8" t="s">
        <v>10</v>
      </c>
      <c r="G530" s="8">
        <v>19.28</v>
      </c>
      <c r="H530" s="10">
        <f t="shared" si="16"/>
        <v>12</v>
      </c>
      <c r="I530" s="10">
        <f>YEAR(Sheet1!$A530)</f>
        <v>2024</v>
      </c>
      <c r="J530" s="10">
        <f>DAY(Sheet1!$A530)</f>
        <v>4</v>
      </c>
      <c r="K530" s="12" t="s">
        <v>2022</v>
      </c>
      <c r="L530" s="13" t="str">
        <f t="shared" si="17"/>
        <v>Regular Customer</v>
      </c>
    </row>
    <row r="531" spans="1:12" ht="15.75" customHeight="1" x14ac:dyDescent="0.3">
      <c r="A531" s="14">
        <v>45618</v>
      </c>
      <c r="B531" s="15" t="s">
        <v>1576</v>
      </c>
      <c r="C531" s="15" t="s">
        <v>13</v>
      </c>
      <c r="D531" s="15" t="s">
        <v>14</v>
      </c>
      <c r="E531" s="16">
        <v>6.44</v>
      </c>
      <c r="F531" s="15" t="s">
        <v>11</v>
      </c>
      <c r="G531" s="15">
        <v>19.32</v>
      </c>
      <c r="H531" s="17">
        <f t="shared" si="16"/>
        <v>11</v>
      </c>
      <c r="I531" s="17">
        <f>YEAR(Sheet1!$A531)</f>
        <v>2024</v>
      </c>
      <c r="J531" s="17">
        <f>DAY(Sheet1!$A531)</f>
        <v>22</v>
      </c>
      <c r="K531" s="18" t="s">
        <v>2023</v>
      </c>
      <c r="L531" s="19" t="str">
        <f t="shared" si="17"/>
        <v>Regular Customer</v>
      </c>
    </row>
    <row r="532" spans="1:12" ht="15.75" customHeight="1" x14ac:dyDescent="0.3">
      <c r="A532" s="7">
        <v>45745</v>
      </c>
      <c r="B532" s="8" t="s">
        <v>786</v>
      </c>
      <c r="C532" s="8" t="s">
        <v>13</v>
      </c>
      <c r="D532" s="8" t="s">
        <v>16</v>
      </c>
      <c r="E532" s="9">
        <v>6.45</v>
      </c>
      <c r="F532" s="8" t="s">
        <v>10</v>
      </c>
      <c r="G532" s="8">
        <v>19.350000000000001</v>
      </c>
      <c r="H532" s="10">
        <f t="shared" si="16"/>
        <v>3</v>
      </c>
      <c r="I532" s="10">
        <f>YEAR(Sheet1!$A532)</f>
        <v>2025</v>
      </c>
      <c r="J532" s="10">
        <f>DAY(Sheet1!$A532)</f>
        <v>29</v>
      </c>
      <c r="K532" s="12" t="s">
        <v>2023</v>
      </c>
      <c r="L532" s="13" t="str">
        <f t="shared" si="17"/>
        <v>Regular Customer</v>
      </c>
    </row>
    <row r="533" spans="1:12" ht="15.75" customHeight="1" x14ac:dyDescent="0.3">
      <c r="A533" s="14">
        <v>45454</v>
      </c>
      <c r="B533" s="15" t="s">
        <v>229</v>
      </c>
      <c r="C533" s="15" t="s">
        <v>18</v>
      </c>
      <c r="D533" s="15" t="s">
        <v>19</v>
      </c>
      <c r="E533" s="16">
        <v>6.49</v>
      </c>
      <c r="F533" s="15" t="s">
        <v>11</v>
      </c>
      <c r="G533" s="15">
        <v>19.47</v>
      </c>
      <c r="H533" s="17">
        <f t="shared" si="16"/>
        <v>6</v>
      </c>
      <c r="I533" s="17">
        <f>YEAR(Sheet1!$A533)</f>
        <v>2024</v>
      </c>
      <c r="J533" s="17">
        <f>DAY(Sheet1!$A533)</f>
        <v>11</v>
      </c>
      <c r="K533" s="18" t="s">
        <v>2023</v>
      </c>
      <c r="L533" s="19" t="str">
        <f t="shared" si="17"/>
        <v>Regular Customer</v>
      </c>
    </row>
    <row r="534" spans="1:12" ht="15.75" customHeight="1" x14ac:dyDescent="0.3">
      <c r="A534" s="7">
        <v>45715</v>
      </c>
      <c r="B534" s="8" t="s">
        <v>600</v>
      </c>
      <c r="C534" s="8" t="s">
        <v>18</v>
      </c>
      <c r="D534" s="8" t="s">
        <v>9</v>
      </c>
      <c r="E534" s="9">
        <v>19.48</v>
      </c>
      <c r="F534" s="8" t="s">
        <v>10</v>
      </c>
      <c r="G534" s="8">
        <v>19.48</v>
      </c>
      <c r="H534" s="10">
        <f t="shared" si="16"/>
        <v>2</v>
      </c>
      <c r="I534" s="10">
        <f>YEAR(Sheet1!$A534)</f>
        <v>2025</v>
      </c>
      <c r="J534" s="10">
        <f>DAY(Sheet1!$A534)</f>
        <v>27</v>
      </c>
      <c r="K534" s="12" t="s">
        <v>2022</v>
      </c>
      <c r="L534" s="13" t="str">
        <f t="shared" si="17"/>
        <v>Regular Customer</v>
      </c>
    </row>
    <row r="535" spans="1:12" ht="15.75" customHeight="1" x14ac:dyDescent="0.3">
      <c r="A535" s="14">
        <v>45737</v>
      </c>
      <c r="B535" s="15" t="s">
        <v>1406</v>
      </c>
      <c r="C535" s="15" t="s">
        <v>8</v>
      </c>
      <c r="D535" s="15" t="s">
        <v>16</v>
      </c>
      <c r="E535" s="16">
        <v>9.74</v>
      </c>
      <c r="F535" s="15" t="s">
        <v>11</v>
      </c>
      <c r="G535" s="15">
        <v>19.48</v>
      </c>
      <c r="H535" s="17">
        <f t="shared" si="16"/>
        <v>3</v>
      </c>
      <c r="I535" s="17">
        <f>YEAR(Sheet1!$A535)</f>
        <v>2025</v>
      </c>
      <c r="J535" s="17">
        <f>DAY(Sheet1!$A535)</f>
        <v>21</v>
      </c>
      <c r="K535" s="18" t="s">
        <v>2023</v>
      </c>
      <c r="L535" s="19" t="str">
        <f t="shared" si="17"/>
        <v>Regular Customer</v>
      </c>
    </row>
    <row r="536" spans="1:12" ht="15.75" customHeight="1" x14ac:dyDescent="0.3">
      <c r="A536" s="7">
        <v>45751</v>
      </c>
      <c r="B536" s="8" t="s">
        <v>146</v>
      </c>
      <c r="C536" s="8" t="s">
        <v>24</v>
      </c>
      <c r="D536" s="8" t="s">
        <v>14</v>
      </c>
      <c r="E536" s="9">
        <v>19.53</v>
      </c>
      <c r="F536" s="8" t="s">
        <v>10</v>
      </c>
      <c r="G536" s="8">
        <v>19.53</v>
      </c>
      <c r="H536" s="10">
        <f t="shared" si="16"/>
        <v>4</v>
      </c>
      <c r="I536" s="10">
        <f>YEAR(Sheet1!$A536)</f>
        <v>2025</v>
      </c>
      <c r="J536" s="10">
        <f>DAY(Sheet1!$A536)</f>
        <v>4</v>
      </c>
      <c r="K536" s="12" t="s">
        <v>2022</v>
      </c>
      <c r="L536" s="13" t="str">
        <f t="shared" si="17"/>
        <v>Regular Customer</v>
      </c>
    </row>
    <row r="537" spans="1:12" ht="15.75" customHeight="1" x14ac:dyDescent="0.3">
      <c r="A537" s="14">
        <v>45451</v>
      </c>
      <c r="B537" s="15" t="s">
        <v>1036</v>
      </c>
      <c r="C537" s="15" t="s">
        <v>18</v>
      </c>
      <c r="D537" s="15" t="s">
        <v>19</v>
      </c>
      <c r="E537" s="16">
        <v>19.559999999999999</v>
      </c>
      <c r="F537" s="15" t="s">
        <v>11</v>
      </c>
      <c r="G537" s="15">
        <v>19.559999999999999</v>
      </c>
      <c r="H537" s="17">
        <f t="shared" si="16"/>
        <v>6</v>
      </c>
      <c r="I537" s="17">
        <f>YEAR(Sheet1!$A537)</f>
        <v>2024</v>
      </c>
      <c r="J537" s="17">
        <f>DAY(Sheet1!$A537)</f>
        <v>8</v>
      </c>
      <c r="K537" s="18" t="s">
        <v>2023</v>
      </c>
      <c r="L537" s="19" t="str">
        <f t="shared" si="17"/>
        <v>Regular Customer</v>
      </c>
    </row>
    <row r="538" spans="1:12" ht="15.75" customHeight="1" x14ac:dyDescent="0.3">
      <c r="A538" s="7">
        <v>45457</v>
      </c>
      <c r="B538" s="8" t="s">
        <v>819</v>
      </c>
      <c r="C538" s="8" t="s">
        <v>24</v>
      </c>
      <c r="D538" s="8" t="s">
        <v>9</v>
      </c>
      <c r="E538" s="9">
        <v>6.55</v>
      </c>
      <c r="F538" s="8" t="s">
        <v>10</v>
      </c>
      <c r="G538" s="8">
        <v>19.649999999999999</v>
      </c>
      <c r="H538" s="10">
        <f t="shared" si="16"/>
        <v>6</v>
      </c>
      <c r="I538" s="10">
        <f>YEAR(Sheet1!$A538)</f>
        <v>2024</v>
      </c>
      <c r="J538" s="10">
        <f>DAY(Sheet1!$A538)</f>
        <v>14</v>
      </c>
      <c r="K538" s="12" t="s">
        <v>2022</v>
      </c>
      <c r="L538" s="13" t="str">
        <f t="shared" si="17"/>
        <v>Regular Customer</v>
      </c>
    </row>
    <row r="539" spans="1:12" ht="15.75" customHeight="1" x14ac:dyDescent="0.3">
      <c r="A539" s="14">
        <v>45482</v>
      </c>
      <c r="B539" s="15" t="s">
        <v>98</v>
      </c>
      <c r="C539" s="15" t="s">
        <v>8</v>
      </c>
      <c r="D539" s="15" t="s">
        <v>19</v>
      </c>
      <c r="E539" s="16">
        <v>19.66</v>
      </c>
      <c r="F539" s="15" t="s">
        <v>11</v>
      </c>
      <c r="G539" s="15">
        <v>19.66</v>
      </c>
      <c r="H539" s="17">
        <f t="shared" si="16"/>
        <v>7</v>
      </c>
      <c r="I539" s="17">
        <f>YEAR(Sheet1!$A539)</f>
        <v>2024</v>
      </c>
      <c r="J539" s="17">
        <f>DAY(Sheet1!$A539)</f>
        <v>9</v>
      </c>
      <c r="K539" s="18" t="s">
        <v>2023</v>
      </c>
      <c r="L539" s="19" t="str">
        <f t="shared" si="17"/>
        <v>Regular Customer</v>
      </c>
    </row>
    <row r="540" spans="1:12" ht="15.75" customHeight="1" x14ac:dyDescent="0.3">
      <c r="A540" s="7">
        <v>45601</v>
      </c>
      <c r="B540" s="8" t="s">
        <v>304</v>
      </c>
      <c r="C540" s="8" t="s">
        <v>8</v>
      </c>
      <c r="D540" s="8" t="s">
        <v>14</v>
      </c>
      <c r="E540" s="9">
        <v>19.7</v>
      </c>
      <c r="F540" s="8" t="s">
        <v>10</v>
      </c>
      <c r="G540" s="8">
        <v>19.7</v>
      </c>
      <c r="H540" s="10">
        <f t="shared" si="16"/>
        <v>11</v>
      </c>
      <c r="I540" s="10">
        <f>YEAR(Sheet1!$A540)</f>
        <v>2024</v>
      </c>
      <c r="J540" s="10">
        <f>DAY(Sheet1!$A540)</f>
        <v>5</v>
      </c>
      <c r="K540" s="12" t="s">
        <v>2022</v>
      </c>
      <c r="L540" s="13" t="str">
        <f t="shared" si="17"/>
        <v>Regular Customer</v>
      </c>
    </row>
    <row r="541" spans="1:12" ht="15.75" customHeight="1" x14ac:dyDescent="0.3">
      <c r="A541" s="14">
        <v>45486</v>
      </c>
      <c r="B541" s="15" t="s">
        <v>1558</v>
      </c>
      <c r="C541" s="15" t="s">
        <v>18</v>
      </c>
      <c r="D541" s="15" t="s">
        <v>14</v>
      </c>
      <c r="E541" s="16">
        <v>19.71</v>
      </c>
      <c r="F541" s="15" t="s">
        <v>10</v>
      </c>
      <c r="G541" s="15">
        <v>19.71</v>
      </c>
      <c r="H541" s="17">
        <f t="shared" si="16"/>
        <v>7</v>
      </c>
      <c r="I541" s="17">
        <f>YEAR(Sheet1!$A541)</f>
        <v>2024</v>
      </c>
      <c r="J541" s="17">
        <f>DAY(Sheet1!$A541)</f>
        <v>13</v>
      </c>
      <c r="K541" s="18" t="s">
        <v>2023</v>
      </c>
      <c r="L541" s="19" t="str">
        <f t="shared" si="17"/>
        <v>Regular Customer</v>
      </c>
    </row>
    <row r="542" spans="1:12" ht="15.75" customHeight="1" x14ac:dyDescent="0.3">
      <c r="A542" s="7">
        <v>45651</v>
      </c>
      <c r="B542" s="8" t="s">
        <v>1110</v>
      </c>
      <c r="C542" s="8" t="s">
        <v>13</v>
      </c>
      <c r="D542" s="8" t="s">
        <v>14</v>
      </c>
      <c r="E542" s="9">
        <v>9.89</v>
      </c>
      <c r="F542" s="8" t="s">
        <v>11</v>
      </c>
      <c r="G542" s="8">
        <v>19.78</v>
      </c>
      <c r="H542" s="10">
        <f t="shared" si="16"/>
        <v>12</v>
      </c>
      <c r="I542" s="10">
        <f>YEAR(Sheet1!$A542)</f>
        <v>2024</v>
      </c>
      <c r="J542" s="10">
        <f>DAY(Sheet1!$A542)</f>
        <v>25</v>
      </c>
      <c r="K542" s="12" t="s">
        <v>2023</v>
      </c>
      <c r="L542" s="13" t="str">
        <f t="shared" si="17"/>
        <v>Regular Customer</v>
      </c>
    </row>
    <row r="543" spans="1:12" ht="15.75" customHeight="1" x14ac:dyDescent="0.3">
      <c r="A543" s="14">
        <v>45701</v>
      </c>
      <c r="B543" s="15" t="s">
        <v>255</v>
      </c>
      <c r="C543" s="15" t="s">
        <v>18</v>
      </c>
      <c r="D543" s="15" t="s">
        <v>9</v>
      </c>
      <c r="E543" s="16">
        <v>19.78</v>
      </c>
      <c r="F543" s="15" t="s">
        <v>10</v>
      </c>
      <c r="G543" s="15">
        <v>19.78</v>
      </c>
      <c r="H543" s="17">
        <f t="shared" si="16"/>
        <v>2</v>
      </c>
      <c r="I543" s="17">
        <f>YEAR(Sheet1!$A543)</f>
        <v>2025</v>
      </c>
      <c r="J543" s="17">
        <f>DAY(Sheet1!$A543)</f>
        <v>13</v>
      </c>
      <c r="K543" s="18" t="s">
        <v>2022</v>
      </c>
      <c r="L543" s="19" t="str">
        <f t="shared" si="17"/>
        <v>Regular Customer</v>
      </c>
    </row>
    <row r="544" spans="1:12" ht="15.75" customHeight="1" x14ac:dyDescent="0.3">
      <c r="A544" s="7">
        <v>45454</v>
      </c>
      <c r="B544" s="8" t="s">
        <v>1991</v>
      </c>
      <c r="C544" s="8" t="s">
        <v>24</v>
      </c>
      <c r="D544" s="8" t="s">
        <v>9</v>
      </c>
      <c r="E544" s="9">
        <v>9.9</v>
      </c>
      <c r="F544" s="8" t="s">
        <v>11</v>
      </c>
      <c r="G544" s="8">
        <v>19.8</v>
      </c>
      <c r="H544" s="10">
        <f t="shared" si="16"/>
        <v>6</v>
      </c>
      <c r="I544" s="10">
        <f>YEAR(Sheet1!$A544)</f>
        <v>2024</v>
      </c>
      <c r="J544" s="10">
        <f>DAY(Sheet1!$A544)</f>
        <v>11</v>
      </c>
      <c r="K544" s="12" t="s">
        <v>2022</v>
      </c>
      <c r="L544" s="13" t="str">
        <f t="shared" si="17"/>
        <v>Regular Customer</v>
      </c>
    </row>
    <row r="545" spans="1:12" ht="15.75" customHeight="1" x14ac:dyDescent="0.3">
      <c r="A545" s="14">
        <v>45488</v>
      </c>
      <c r="B545" s="15" t="s">
        <v>276</v>
      </c>
      <c r="C545" s="15" t="s">
        <v>18</v>
      </c>
      <c r="D545" s="15" t="s">
        <v>16</v>
      </c>
      <c r="E545" s="16">
        <v>9.9</v>
      </c>
      <c r="F545" s="15" t="s">
        <v>11</v>
      </c>
      <c r="G545" s="15">
        <v>19.8</v>
      </c>
      <c r="H545" s="17">
        <f t="shared" si="16"/>
        <v>7</v>
      </c>
      <c r="I545" s="17">
        <f>YEAR(Sheet1!$A545)</f>
        <v>2024</v>
      </c>
      <c r="J545" s="17">
        <f>DAY(Sheet1!$A545)</f>
        <v>15</v>
      </c>
      <c r="K545" s="18" t="s">
        <v>2023</v>
      </c>
      <c r="L545" s="19" t="str">
        <f t="shared" si="17"/>
        <v>Regular Customer</v>
      </c>
    </row>
    <row r="546" spans="1:12" ht="15.75" customHeight="1" x14ac:dyDescent="0.3">
      <c r="A546" s="7">
        <v>45656</v>
      </c>
      <c r="B546" s="8" t="s">
        <v>686</v>
      </c>
      <c r="C546" s="8" t="s">
        <v>18</v>
      </c>
      <c r="D546" s="8" t="s">
        <v>19</v>
      </c>
      <c r="E546" s="9">
        <v>6.61</v>
      </c>
      <c r="F546" s="8" t="s">
        <v>10</v>
      </c>
      <c r="G546" s="8">
        <v>19.829999999999998</v>
      </c>
      <c r="H546" s="10">
        <f t="shared" si="16"/>
        <v>12</v>
      </c>
      <c r="I546" s="10">
        <f>YEAR(Sheet1!$A546)</f>
        <v>2024</v>
      </c>
      <c r="J546" s="10">
        <f>DAY(Sheet1!$A546)</f>
        <v>30</v>
      </c>
      <c r="K546" s="12" t="s">
        <v>2023</v>
      </c>
      <c r="L546" s="13" t="str">
        <f t="shared" si="17"/>
        <v>Regular Customer</v>
      </c>
    </row>
    <row r="547" spans="1:12" ht="15.75" customHeight="1" x14ac:dyDescent="0.3">
      <c r="A547" s="14">
        <v>45550</v>
      </c>
      <c r="B547" s="15" t="s">
        <v>536</v>
      </c>
      <c r="C547" s="15" t="s">
        <v>8</v>
      </c>
      <c r="D547" s="15" t="s">
        <v>9</v>
      </c>
      <c r="E547" s="16">
        <v>19.84</v>
      </c>
      <c r="F547" s="15" t="s">
        <v>10</v>
      </c>
      <c r="G547" s="15">
        <v>19.84</v>
      </c>
      <c r="H547" s="17">
        <f t="shared" si="16"/>
        <v>9</v>
      </c>
      <c r="I547" s="17">
        <f>YEAR(Sheet1!$A547)</f>
        <v>2024</v>
      </c>
      <c r="J547" s="17">
        <f>DAY(Sheet1!$A547)</f>
        <v>15</v>
      </c>
      <c r="K547" s="18" t="s">
        <v>2023</v>
      </c>
      <c r="L547" s="19" t="str">
        <f t="shared" si="17"/>
        <v>Regular Customer</v>
      </c>
    </row>
    <row r="548" spans="1:12" ht="15.75" customHeight="1" x14ac:dyDescent="0.3">
      <c r="A548" s="7">
        <v>45589</v>
      </c>
      <c r="B548" s="8" t="s">
        <v>44</v>
      </c>
      <c r="C548" s="8" t="s">
        <v>8</v>
      </c>
      <c r="D548" s="8" t="s">
        <v>16</v>
      </c>
      <c r="E548" s="9">
        <v>9.9499999999999993</v>
      </c>
      <c r="F548" s="8" t="s">
        <v>10</v>
      </c>
      <c r="G548" s="8">
        <v>19.899999999999999</v>
      </c>
      <c r="H548" s="10">
        <f t="shared" si="16"/>
        <v>10</v>
      </c>
      <c r="I548" s="10">
        <f>YEAR(Sheet1!$A548)</f>
        <v>2024</v>
      </c>
      <c r="J548" s="10">
        <f>DAY(Sheet1!$A548)</f>
        <v>24</v>
      </c>
      <c r="K548" s="12" t="s">
        <v>2022</v>
      </c>
      <c r="L548" s="13" t="str">
        <f t="shared" si="17"/>
        <v>Regular Customer</v>
      </c>
    </row>
    <row r="549" spans="1:12" ht="15.75" customHeight="1" x14ac:dyDescent="0.3">
      <c r="A549" s="14">
        <v>45689</v>
      </c>
      <c r="B549" s="15" t="s">
        <v>344</v>
      </c>
      <c r="C549" s="15" t="s">
        <v>18</v>
      </c>
      <c r="D549" s="15" t="s">
        <v>14</v>
      </c>
      <c r="E549" s="16">
        <v>9.9700000000000006</v>
      </c>
      <c r="F549" s="15" t="s">
        <v>10</v>
      </c>
      <c r="G549" s="15">
        <v>19.940000000000001</v>
      </c>
      <c r="H549" s="17">
        <f t="shared" si="16"/>
        <v>2</v>
      </c>
      <c r="I549" s="17">
        <f>YEAR(Sheet1!$A549)</f>
        <v>2025</v>
      </c>
      <c r="J549" s="17">
        <f>DAY(Sheet1!$A549)</f>
        <v>1</v>
      </c>
      <c r="K549" s="18" t="s">
        <v>2022</v>
      </c>
      <c r="L549" s="19" t="str">
        <f t="shared" si="17"/>
        <v>Regular Customer</v>
      </c>
    </row>
    <row r="550" spans="1:12" ht="15.75" customHeight="1" x14ac:dyDescent="0.3">
      <c r="A550" s="7">
        <v>45732</v>
      </c>
      <c r="B550" s="8" t="s">
        <v>1750</v>
      </c>
      <c r="C550" s="8" t="s">
        <v>24</v>
      </c>
      <c r="D550" s="8" t="s">
        <v>9</v>
      </c>
      <c r="E550" s="9">
        <v>9.9700000000000006</v>
      </c>
      <c r="F550" s="8" t="s">
        <v>10</v>
      </c>
      <c r="G550" s="8">
        <v>19.940000000000001</v>
      </c>
      <c r="H550" s="10">
        <f t="shared" si="16"/>
        <v>3</v>
      </c>
      <c r="I550" s="10">
        <f>YEAR(Sheet1!$A550)</f>
        <v>2025</v>
      </c>
      <c r="J550" s="10">
        <f>DAY(Sheet1!$A550)</f>
        <v>16</v>
      </c>
      <c r="K550" s="12" t="s">
        <v>2022</v>
      </c>
      <c r="L550" s="13" t="str">
        <f t="shared" si="17"/>
        <v>Regular Customer</v>
      </c>
    </row>
    <row r="551" spans="1:12" ht="15.75" customHeight="1" x14ac:dyDescent="0.3">
      <c r="A551" s="14">
        <v>45618</v>
      </c>
      <c r="B551" s="15" t="s">
        <v>1458</v>
      </c>
      <c r="C551" s="15" t="s">
        <v>18</v>
      </c>
      <c r="D551" s="15" t="s">
        <v>9</v>
      </c>
      <c r="E551" s="16">
        <v>19.96</v>
      </c>
      <c r="F551" s="15" t="s">
        <v>11</v>
      </c>
      <c r="G551" s="15">
        <v>19.96</v>
      </c>
      <c r="H551" s="17">
        <f t="shared" si="16"/>
        <v>11</v>
      </c>
      <c r="I551" s="17">
        <f>YEAR(Sheet1!$A551)</f>
        <v>2024</v>
      </c>
      <c r="J551" s="17">
        <f>DAY(Sheet1!$A551)</f>
        <v>22</v>
      </c>
      <c r="K551" s="18" t="s">
        <v>2023</v>
      </c>
      <c r="L551" s="19" t="str">
        <f t="shared" si="17"/>
        <v>Regular Customer</v>
      </c>
    </row>
    <row r="552" spans="1:12" ht="15.75" customHeight="1" x14ac:dyDescent="0.3">
      <c r="A552" s="7">
        <v>45421</v>
      </c>
      <c r="B552" s="8" t="s">
        <v>1904</v>
      </c>
      <c r="C552" s="8" t="s">
        <v>8</v>
      </c>
      <c r="D552" s="8" t="s">
        <v>19</v>
      </c>
      <c r="E552" s="9">
        <v>9.99</v>
      </c>
      <c r="F552" s="8" t="s">
        <v>10</v>
      </c>
      <c r="G552" s="8">
        <v>19.98</v>
      </c>
      <c r="H552" s="10">
        <f t="shared" si="16"/>
        <v>5</v>
      </c>
      <c r="I552" s="10">
        <f>YEAR(Sheet1!$A552)</f>
        <v>2024</v>
      </c>
      <c r="J552" s="10">
        <f>DAY(Sheet1!$A552)</f>
        <v>9</v>
      </c>
      <c r="K552" s="12" t="s">
        <v>2023</v>
      </c>
      <c r="L552" s="13" t="str">
        <f t="shared" si="17"/>
        <v>Regular Customer</v>
      </c>
    </row>
    <row r="553" spans="1:12" ht="15.75" customHeight="1" x14ac:dyDescent="0.3">
      <c r="A553" s="14">
        <v>45417</v>
      </c>
      <c r="B553" s="15" t="s">
        <v>325</v>
      </c>
      <c r="C553" s="15" t="s">
        <v>18</v>
      </c>
      <c r="D553" s="15" t="s">
        <v>14</v>
      </c>
      <c r="E553" s="16">
        <v>19.989999999999998</v>
      </c>
      <c r="F553" s="15" t="s">
        <v>11</v>
      </c>
      <c r="G553" s="15">
        <v>19.989999999999998</v>
      </c>
      <c r="H553" s="17">
        <f t="shared" si="16"/>
        <v>5</v>
      </c>
      <c r="I553" s="17">
        <f>YEAR(Sheet1!$A553)</f>
        <v>2024</v>
      </c>
      <c r="J553" s="17">
        <f>DAY(Sheet1!$A553)</f>
        <v>5</v>
      </c>
      <c r="K553" s="18" t="s">
        <v>2023</v>
      </c>
      <c r="L553" s="19" t="str">
        <f t="shared" si="17"/>
        <v>Regular Customer</v>
      </c>
    </row>
    <row r="554" spans="1:12" ht="15.75" customHeight="1" x14ac:dyDescent="0.3">
      <c r="A554" s="7">
        <v>45580</v>
      </c>
      <c r="B554" s="8" t="s">
        <v>854</v>
      </c>
      <c r="C554" s="8" t="s">
        <v>8</v>
      </c>
      <c r="D554" s="8" t="s">
        <v>16</v>
      </c>
      <c r="E554" s="9">
        <v>10</v>
      </c>
      <c r="F554" s="8" t="s">
        <v>11</v>
      </c>
      <c r="G554" s="8">
        <v>20</v>
      </c>
      <c r="H554" s="10">
        <f t="shared" si="16"/>
        <v>10</v>
      </c>
      <c r="I554" s="10">
        <f>YEAR(Sheet1!$A554)</f>
        <v>2024</v>
      </c>
      <c r="J554" s="10">
        <f>DAY(Sheet1!$A554)</f>
        <v>15</v>
      </c>
      <c r="K554" s="12" t="s">
        <v>2022</v>
      </c>
      <c r="L554" s="13" t="str">
        <f t="shared" si="17"/>
        <v>Regular Customer</v>
      </c>
    </row>
    <row r="555" spans="1:12" ht="15.75" customHeight="1" x14ac:dyDescent="0.3">
      <c r="A555" s="14">
        <v>45741</v>
      </c>
      <c r="B555" s="15" t="s">
        <v>1358</v>
      </c>
      <c r="C555" s="15" t="s">
        <v>24</v>
      </c>
      <c r="D555" s="15" t="s">
        <v>14</v>
      </c>
      <c r="E555" s="16">
        <v>20.05</v>
      </c>
      <c r="F555" s="15" t="s">
        <v>10</v>
      </c>
      <c r="G555" s="15">
        <v>20.05</v>
      </c>
      <c r="H555" s="17">
        <f t="shared" si="16"/>
        <v>3</v>
      </c>
      <c r="I555" s="17">
        <f>YEAR(Sheet1!$A555)</f>
        <v>2025</v>
      </c>
      <c r="J555" s="17">
        <f>DAY(Sheet1!$A555)</f>
        <v>25</v>
      </c>
      <c r="K555" s="18" t="s">
        <v>2023</v>
      </c>
      <c r="L555" s="19" t="str">
        <f t="shared" si="17"/>
        <v>Regular Customer</v>
      </c>
    </row>
    <row r="556" spans="1:12" ht="15.75" customHeight="1" x14ac:dyDescent="0.3">
      <c r="A556" s="7">
        <v>45660</v>
      </c>
      <c r="B556" s="8" t="s">
        <v>1874</v>
      </c>
      <c r="C556" s="8" t="s">
        <v>24</v>
      </c>
      <c r="D556" s="8" t="s">
        <v>9</v>
      </c>
      <c r="E556" s="9">
        <v>10.029999999999999</v>
      </c>
      <c r="F556" s="8" t="s">
        <v>11</v>
      </c>
      <c r="G556" s="8">
        <v>20.059999999999999</v>
      </c>
      <c r="H556" s="10">
        <f t="shared" si="16"/>
        <v>1</v>
      </c>
      <c r="I556" s="10">
        <f>YEAR(Sheet1!$A556)</f>
        <v>2025</v>
      </c>
      <c r="J556" s="10">
        <f>DAY(Sheet1!$A556)</f>
        <v>3</v>
      </c>
      <c r="K556" s="12" t="s">
        <v>2022</v>
      </c>
      <c r="L556" s="13" t="str">
        <f t="shared" si="17"/>
        <v>Regular Customer</v>
      </c>
    </row>
    <row r="557" spans="1:12" ht="15.75" customHeight="1" x14ac:dyDescent="0.3">
      <c r="A557" s="14">
        <v>45655</v>
      </c>
      <c r="B557" s="15" t="s">
        <v>195</v>
      </c>
      <c r="C557" s="15" t="s">
        <v>13</v>
      </c>
      <c r="D557" s="15" t="s">
        <v>19</v>
      </c>
      <c r="E557" s="16">
        <v>20.09</v>
      </c>
      <c r="F557" s="15" t="s">
        <v>11</v>
      </c>
      <c r="G557" s="15">
        <v>20.09</v>
      </c>
      <c r="H557" s="17">
        <f t="shared" si="16"/>
        <v>12</v>
      </c>
      <c r="I557" s="17">
        <f>YEAR(Sheet1!$A557)</f>
        <v>2024</v>
      </c>
      <c r="J557" s="17">
        <f>DAY(Sheet1!$A557)</f>
        <v>29</v>
      </c>
      <c r="K557" s="18" t="s">
        <v>2022</v>
      </c>
      <c r="L557" s="19" t="str">
        <f t="shared" si="17"/>
        <v>Regular Customer</v>
      </c>
    </row>
    <row r="558" spans="1:12" ht="15.75" customHeight="1" x14ac:dyDescent="0.3">
      <c r="A558" s="7">
        <v>45715</v>
      </c>
      <c r="B558" s="8" t="s">
        <v>521</v>
      </c>
      <c r="C558" s="8" t="s">
        <v>8</v>
      </c>
      <c r="D558" s="8" t="s">
        <v>19</v>
      </c>
      <c r="E558" s="9">
        <v>10.050000000000001</v>
      </c>
      <c r="F558" s="8" t="s">
        <v>11</v>
      </c>
      <c r="G558" s="8">
        <v>20.100000000000001</v>
      </c>
      <c r="H558" s="10">
        <f t="shared" si="16"/>
        <v>2</v>
      </c>
      <c r="I558" s="10">
        <f>YEAR(Sheet1!$A558)</f>
        <v>2025</v>
      </c>
      <c r="J558" s="10">
        <f>DAY(Sheet1!$A558)</f>
        <v>27</v>
      </c>
      <c r="K558" s="12" t="s">
        <v>2022</v>
      </c>
      <c r="L558" s="13" t="str">
        <f t="shared" si="17"/>
        <v>Regular Customer</v>
      </c>
    </row>
    <row r="559" spans="1:12" ht="15.75" customHeight="1" x14ac:dyDescent="0.3">
      <c r="A559" s="14">
        <v>45708</v>
      </c>
      <c r="B559" s="15" t="s">
        <v>523</v>
      </c>
      <c r="C559" s="15" t="s">
        <v>18</v>
      </c>
      <c r="D559" s="15" t="s">
        <v>16</v>
      </c>
      <c r="E559" s="16">
        <v>20.12</v>
      </c>
      <c r="F559" s="15" t="s">
        <v>10</v>
      </c>
      <c r="G559" s="15">
        <v>20.12</v>
      </c>
      <c r="H559" s="17">
        <f t="shared" si="16"/>
        <v>2</v>
      </c>
      <c r="I559" s="17">
        <f>YEAR(Sheet1!$A559)</f>
        <v>2025</v>
      </c>
      <c r="J559" s="17">
        <f>DAY(Sheet1!$A559)</f>
        <v>20</v>
      </c>
      <c r="K559" s="18" t="s">
        <v>2023</v>
      </c>
      <c r="L559" s="19" t="str">
        <f t="shared" si="17"/>
        <v>Regular Customer</v>
      </c>
    </row>
    <row r="560" spans="1:12" ht="15.75" customHeight="1" x14ac:dyDescent="0.3">
      <c r="A560" s="7">
        <v>45522</v>
      </c>
      <c r="B560" s="8" t="s">
        <v>1073</v>
      </c>
      <c r="C560" s="8" t="s">
        <v>8</v>
      </c>
      <c r="D560" s="8" t="s">
        <v>9</v>
      </c>
      <c r="E560" s="9">
        <v>20.16</v>
      </c>
      <c r="F560" s="8" t="s">
        <v>10</v>
      </c>
      <c r="G560" s="8">
        <v>20.16</v>
      </c>
      <c r="H560" s="10">
        <f t="shared" si="16"/>
        <v>8</v>
      </c>
      <c r="I560" s="10">
        <f>YEAR(Sheet1!$A560)</f>
        <v>2024</v>
      </c>
      <c r="J560" s="10">
        <f>DAY(Sheet1!$A560)</f>
        <v>18</v>
      </c>
      <c r="K560" s="12" t="s">
        <v>2022</v>
      </c>
      <c r="L560" s="13" t="str">
        <f t="shared" si="17"/>
        <v>Regular Customer</v>
      </c>
    </row>
    <row r="561" spans="1:12" ht="15.75" customHeight="1" x14ac:dyDescent="0.3">
      <c r="A561" s="14">
        <v>45696</v>
      </c>
      <c r="B561" s="15" t="s">
        <v>27</v>
      </c>
      <c r="C561" s="15" t="s">
        <v>13</v>
      </c>
      <c r="D561" s="15" t="s">
        <v>19</v>
      </c>
      <c r="E561" s="16">
        <v>20.21</v>
      </c>
      <c r="F561" s="15" t="s">
        <v>10</v>
      </c>
      <c r="G561" s="15">
        <v>20.21</v>
      </c>
      <c r="H561" s="17">
        <f t="shared" si="16"/>
        <v>2</v>
      </c>
      <c r="I561" s="17">
        <f>YEAR(Sheet1!$A561)</f>
        <v>2025</v>
      </c>
      <c r="J561" s="17">
        <f>DAY(Sheet1!$A561)</f>
        <v>8</v>
      </c>
      <c r="K561" s="18" t="s">
        <v>2023</v>
      </c>
      <c r="L561" s="19" t="str">
        <f t="shared" si="17"/>
        <v>Regular Customer</v>
      </c>
    </row>
    <row r="562" spans="1:12" ht="15.75" customHeight="1" x14ac:dyDescent="0.3">
      <c r="A562" s="7">
        <v>45563</v>
      </c>
      <c r="B562" s="8" t="s">
        <v>157</v>
      </c>
      <c r="C562" s="8" t="s">
        <v>13</v>
      </c>
      <c r="D562" s="8" t="s">
        <v>9</v>
      </c>
      <c r="E562" s="9">
        <v>10.11</v>
      </c>
      <c r="F562" s="8" t="s">
        <v>10</v>
      </c>
      <c r="G562" s="8">
        <v>20.22</v>
      </c>
      <c r="H562" s="10">
        <f t="shared" si="16"/>
        <v>9</v>
      </c>
      <c r="I562" s="10">
        <f>YEAR(Sheet1!$A562)</f>
        <v>2024</v>
      </c>
      <c r="J562" s="10">
        <f>DAY(Sheet1!$A562)</f>
        <v>28</v>
      </c>
      <c r="K562" s="12" t="s">
        <v>2022</v>
      </c>
      <c r="L562" s="13" t="str">
        <f t="shared" si="17"/>
        <v>Regular Customer</v>
      </c>
    </row>
    <row r="563" spans="1:12" ht="15.75" customHeight="1" x14ac:dyDescent="0.3">
      <c r="A563" s="14">
        <v>45460</v>
      </c>
      <c r="B563" s="15" t="s">
        <v>1694</v>
      </c>
      <c r="C563" s="15" t="s">
        <v>8</v>
      </c>
      <c r="D563" s="15" t="s">
        <v>16</v>
      </c>
      <c r="E563" s="16">
        <v>20.23</v>
      </c>
      <c r="F563" s="15" t="s">
        <v>11</v>
      </c>
      <c r="G563" s="15">
        <v>20.23</v>
      </c>
      <c r="H563" s="17">
        <f t="shared" si="16"/>
        <v>6</v>
      </c>
      <c r="I563" s="17">
        <f>YEAR(Sheet1!$A563)</f>
        <v>2024</v>
      </c>
      <c r="J563" s="17">
        <f>DAY(Sheet1!$A563)</f>
        <v>17</v>
      </c>
      <c r="K563" s="18" t="s">
        <v>2023</v>
      </c>
      <c r="L563" s="19" t="str">
        <f t="shared" si="17"/>
        <v>Regular Customer</v>
      </c>
    </row>
    <row r="564" spans="1:12" ht="15.75" customHeight="1" x14ac:dyDescent="0.3">
      <c r="A564" s="7">
        <v>45476</v>
      </c>
      <c r="B564" s="8" t="s">
        <v>1178</v>
      </c>
      <c r="C564" s="8" t="s">
        <v>8</v>
      </c>
      <c r="D564" s="8" t="s">
        <v>16</v>
      </c>
      <c r="E564" s="9">
        <v>6.75</v>
      </c>
      <c r="F564" s="8" t="s">
        <v>11</v>
      </c>
      <c r="G564" s="8">
        <v>20.25</v>
      </c>
      <c r="H564" s="10">
        <f t="shared" si="16"/>
        <v>7</v>
      </c>
      <c r="I564" s="10">
        <f>YEAR(Sheet1!$A564)</f>
        <v>2024</v>
      </c>
      <c r="J564" s="10">
        <f>DAY(Sheet1!$A564)</f>
        <v>3</v>
      </c>
      <c r="K564" s="12" t="s">
        <v>2023</v>
      </c>
      <c r="L564" s="13" t="str">
        <f t="shared" si="17"/>
        <v>Regular Customer</v>
      </c>
    </row>
    <row r="565" spans="1:12" ht="15.75" customHeight="1" x14ac:dyDescent="0.3">
      <c r="A565" s="14">
        <v>45600</v>
      </c>
      <c r="B565" s="15" t="s">
        <v>1785</v>
      </c>
      <c r="C565" s="15" t="s">
        <v>8</v>
      </c>
      <c r="D565" s="15" t="s">
        <v>9</v>
      </c>
      <c r="E565" s="16">
        <v>20.25</v>
      </c>
      <c r="F565" s="15" t="s">
        <v>11</v>
      </c>
      <c r="G565" s="15">
        <v>20.25</v>
      </c>
      <c r="H565" s="17">
        <f t="shared" si="16"/>
        <v>11</v>
      </c>
      <c r="I565" s="17">
        <f>YEAR(Sheet1!$A565)</f>
        <v>2024</v>
      </c>
      <c r="J565" s="17">
        <f>DAY(Sheet1!$A565)</f>
        <v>4</v>
      </c>
      <c r="K565" s="18" t="s">
        <v>2022</v>
      </c>
      <c r="L565" s="19" t="str">
        <f t="shared" si="17"/>
        <v>Regular Customer</v>
      </c>
    </row>
    <row r="566" spans="1:12" ht="15.75" customHeight="1" x14ac:dyDescent="0.3">
      <c r="A566" s="7">
        <v>45416</v>
      </c>
      <c r="B566" s="8" t="s">
        <v>1144</v>
      </c>
      <c r="C566" s="8" t="s">
        <v>24</v>
      </c>
      <c r="D566" s="8" t="s">
        <v>19</v>
      </c>
      <c r="E566" s="9">
        <v>20.309999999999999</v>
      </c>
      <c r="F566" s="8" t="s">
        <v>11</v>
      </c>
      <c r="G566" s="8">
        <v>20.309999999999999</v>
      </c>
      <c r="H566" s="10">
        <f t="shared" si="16"/>
        <v>5</v>
      </c>
      <c r="I566" s="10">
        <f>YEAR(Sheet1!$A566)</f>
        <v>2024</v>
      </c>
      <c r="J566" s="10">
        <f>DAY(Sheet1!$A566)</f>
        <v>4</v>
      </c>
      <c r="K566" s="12" t="s">
        <v>2022</v>
      </c>
      <c r="L566" s="13" t="str">
        <f t="shared" si="17"/>
        <v>Regular Customer</v>
      </c>
    </row>
    <row r="567" spans="1:12" ht="15.75" customHeight="1" x14ac:dyDescent="0.3">
      <c r="A567" s="14">
        <v>45449</v>
      </c>
      <c r="B567" s="15" t="s">
        <v>1247</v>
      </c>
      <c r="C567" s="15" t="s">
        <v>8</v>
      </c>
      <c r="D567" s="15" t="s">
        <v>9</v>
      </c>
      <c r="E567" s="16">
        <v>20.350000000000001</v>
      </c>
      <c r="F567" s="15" t="s">
        <v>10</v>
      </c>
      <c r="G567" s="15">
        <v>20.350000000000001</v>
      </c>
      <c r="H567" s="17">
        <f t="shared" si="16"/>
        <v>6</v>
      </c>
      <c r="I567" s="17">
        <f>YEAR(Sheet1!$A567)</f>
        <v>2024</v>
      </c>
      <c r="J567" s="17">
        <f>DAY(Sheet1!$A567)</f>
        <v>6</v>
      </c>
      <c r="K567" s="18" t="s">
        <v>2022</v>
      </c>
      <c r="L567" s="19" t="str">
        <f t="shared" si="17"/>
        <v>Regular Customer</v>
      </c>
    </row>
    <row r="568" spans="1:12" ht="15.75" customHeight="1" x14ac:dyDescent="0.3">
      <c r="A568" s="7">
        <v>45700</v>
      </c>
      <c r="B568" s="8" t="s">
        <v>922</v>
      </c>
      <c r="C568" s="8" t="s">
        <v>18</v>
      </c>
      <c r="D568" s="8" t="s">
        <v>9</v>
      </c>
      <c r="E568" s="9">
        <v>10.19</v>
      </c>
      <c r="F568" s="8" t="s">
        <v>11</v>
      </c>
      <c r="G568" s="8">
        <v>20.38</v>
      </c>
      <c r="H568" s="10">
        <f t="shared" si="16"/>
        <v>2</v>
      </c>
      <c r="I568" s="10">
        <f>YEAR(Sheet1!$A568)</f>
        <v>2025</v>
      </c>
      <c r="J568" s="10">
        <f>DAY(Sheet1!$A568)</f>
        <v>12</v>
      </c>
      <c r="K568" s="12" t="s">
        <v>2023</v>
      </c>
      <c r="L568" s="13" t="str">
        <f t="shared" si="17"/>
        <v>Regular Customer</v>
      </c>
    </row>
    <row r="569" spans="1:12" ht="15.75" customHeight="1" x14ac:dyDescent="0.3">
      <c r="A569" s="14">
        <v>45479</v>
      </c>
      <c r="B569" s="15" t="s">
        <v>1666</v>
      </c>
      <c r="C569" s="15" t="s">
        <v>24</v>
      </c>
      <c r="D569" s="15" t="s">
        <v>9</v>
      </c>
      <c r="E569" s="16">
        <v>10.199999999999999</v>
      </c>
      <c r="F569" s="15" t="s">
        <v>11</v>
      </c>
      <c r="G569" s="15">
        <v>20.399999999999999</v>
      </c>
      <c r="H569" s="17">
        <f t="shared" si="16"/>
        <v>7</v>
      </c>
      <c r="I569" s="17">
        <f>YEAR(Sheet1!$A569)</f>
        <v>2024</v>
      </c>
      <c r="J569" s="17">
        <f>DAY(Sheet1!$A569)</f>
        <v>6</v>
      </c>
      <c r="K569" s="18" t="s">
        <v>2023</v>
      </c>
      <c r="L569" s="19" t="str">
        <f t="shared" si="17"/>
        <v>Regular Customer</v>
      </c>
    </row>
    <row r="570" spans="1:12" ht="15.75" customHeight="1" x14ac:dyDescent="0.3">
      <c r="A570" s="7">
        <v>45677</v>
      </c>
      <c r="B570" s="8" t="s">
        <v>604</v>
      </c>
      <c r="C570" s="8" t="s">
        <v>13</v>
      </c>
      <c r="D570" s="8" t="s">
        <v>19</v>
      </c>
      <c r="E570" s="9">
        <v>10.199999999999999</v>
      </c>
      <c r="F570" s="8" t="s">
        <v>10</v>
      </c>
      <c r="G570" s="8">
        <v>20.399999999999999</v>
      </c>
      <c r="H570" s="10">
        <f t="shared" si="16"/>
        <v>1</v>
      </c>
      <c r="I570" s="10">
        <f>YEAR(Sheet1!$A570)</f>
        <v>2025</v>
      </c>
      <c r="J570" s="10">
        <f>DAY(Sheet1!$A570)</f>
        <v>20</v>
      </c>
      <c r="K570" s="12" t="s">
        <v>2023</v>
      </c>
      <c r="L570" s="13" t="str">
        <f t="shared" si="17"/>
        <v>Regular Customer</v>
      </c>
    </row>
    <row r="571" spans="1:12" ht="15.75" customHeight="1" x14ac:dyDescent="0.3">
      <c r="A571" s="14">
        <v>45542</v>
      </c>
      <c r="B571" s="15" t="s">
        <v>972</v>
      </c>
      <c r="C571" s="15" t="s">
        <v>18</v>
      </c>
      <c r="D571" s="15" t="s">
        <v>16</v>
      </c>
      <c r="E571" s="16">
        <v>6.81</v>
      </c>
      <c r="F571" s="15" t="s">
        <v>10</v>
      </c>
      <c r="G571" s="15">
        <v>20.43</v>
      </c>
      <c r="H571" s="17">
        <f t="shared" si="16"/>
        <v>9</v>
      </c>
      <c r="I571" s="17">
        <f>YEAR(Sheet1!$A571)</f>
        <v>2024</v>
      </c>
      <c r="J571" s="17">
        <f>DAY(Sheet1!$A571)</f>
        <v>7</v>
      </c>
      <c r="K571" s="18" t="s">
        <v>2023</v>
      </c>
      <c r="L571" s="19" t="str">
        <f t="shared" si="17"/>
        <v>Regular Customer</v>
      </c>
    </row>
    <row r="572" spans="1:12" ht="15.75" customHeight="1" x14ac:dyDescent="0.3">
      <c r="A572" s="7">
        <v>45543</v>
      </c>
      <c r="B572" s="8" t="s">
        <v>1970</v>
      </c>
      <c r="C572" s="8" t="s">
        <v>18</v>
      </c>
      <c r="D572" s="8" t="s">
        <v>14</v>
      </c>
      <c r="E572" s="9">
        <v>6.81</v>
      </c>
      <c r="F572" s="8" t="s">
        <v>11</v>
      </c>
      <c r="G572" s="8">
        <v>20.43</v>
      </c>
      <c r="H572" s="10">
        <f t="shared" si="16"/>
        <v>9</v>
      </c>
      <c r="I572" s="10">
        <f>YEAR(Sheet1!$A572)</f>
        <v>2024</v>
      </c>
      <c r="J572" s="10">
        <f>DAY(Sheet1!$A572)</f>
        <v>8</v>
      </c>
      <c r="K572" s="12" t="s">
        <v>2022</v>
      </c>
      <c r="L572" s="13" t="str">
        <f t="shared" si="17"/>
        <v>Regular Customer</v>
      </c>
    </row>
    <row r="573" spans="1:12" ht="15.75" customHeight="1" x14ac:dyDescent="0.3">
      <c r="A573" s="14">
        <v>45591</v>
      </c>
      <c r="B573" s="15" t="s">
        <v>582</v>
      </c>
      <c r="C573" s="15" t="s">
        <v>13</v>
      </c>
      <c r="D573" s="15" t="s">
        <v>14</v>
      </c>
      <c r="E573" s="16">
        <v>20.440000000000001</v>
      </c>
      <c r="F573" s="15" t="s">
        <v>11</v>
      </c>
      <c r="G573" s="15">
        <v>20.440000000000001</v>
      </c>
      <c r="H573" s="17">
        <f t="shared" si="16"/>
        <v>10</v>
      </c>
      <c r="I573" s="17">
        <f>YEAR(Sheet1!$A573)</f>
        <v>2024</v>
      </c>
      <c r="J573" s="17">
        <f>DAY(Sheet1!$A573)</f>
        <v>26</v>
      </c>
      <c r="K573" s="18" t="s">
        <v>2022</v>
      </c>
      <c r="L573" s="19" t="str">
        <f t="shared" si="17"/>
        <v>Regular Customer</v>
      </c>
    </row>
    <row r="574" spans="1:12" ht="15.75" customHeight="1" x14ac:dyDescent="0.3">
      <c r="A574" s="7">
        <v>45511</v>
      </c>
      <c r="B574" s="8" t="s">
        <v>96</v>
      </c>
      <c r="C574" s="8" t="s">
        <v>8</v>
      </c>
      <c r="D574" s="8" t="s">
        <v>14</v>
      </c>
      <c r="E574" s="9">
        <v>20.45</v>
      </c>
      <c r="F574" s="8" t="s">
        <v>10</v>
      </c>
      <c r="G574" s="8">
        <v>20.45</v>
      </c>
      <c r="H574" s="10">
        <f t="shared" si="16"/>
        <v>8</v>
      </c>
      <c r="I574" s="10">
        <f>YEAR(Sheet1!$A574)</f>
        <v>2024</v>
      </c>
      <c r="J574" s="10">
        <f>DAY(Sheet1!$A574)</f>
        <v>7</v>
      </c>
      <c r="K574" s="12" t="s">
        <v>2022</v>
      </c>
      <c r="L574" s="13" t="str">
        <f t="shared" si="17"/>
        <v>Regular Customer</v>
      </c>
    </row>
    <row r="575" spans="1:12" ht="15.75" customHeight="1" x14ac:dyDescent="0.3">
      <c r="A575" s="14">
        <v>45589</v>
      </c>
      <c r="B575" s="15" t="s">
        <v>701</v>
      </c>
      <c r="C575" s="15" t="s">
        <v>13</v>
      </c>
      <c r="D575" s="15" t="s">
        <v>16</v>
      </c>
      <c r="E575" s="16">
        <v>10.23</v>
      </c>
      <c r="F575" s="15" t="s">
        <v>11</v>
      </c>
      <c r="G575" s="15">
        <v>20.46</v>
      </c>
      <c r="H575" s="17">
        <f t="shared" si="16"/>
        <v>10</v>
      </c>
      <c r="I575" s="17">
        <f>YEAR(Sheet1!$A575)</f>
        <v>2024</v>
      </c>
      <c r="J575" s="17">
        <f>DAY(Sheet1!$A575)</f>
        <v>24</v>
      </c>
      <c r="K575" s="18" t="s">
        <v>2022</v>
      </c>
      <c r="L575" s="19" t="str">
        <f t="shared" si="17"/>
        <v>Regular Customer</v>
      </c>
    </row>
    <row r="576" spans="1:12" ht="15.75" customHeight="1" x14ac:dyDescent="0.3">
      <c r="A576" s="7">
        <v>45526</v>
      </c>
      <c r="B576" s="8" t="s">
        <v>445</v>
      </c>
      <c r="C576" s="8" t="s">
        <v>13</v>
      </c>
      <c r="D576" s="8" t="s">
        <v>9</v>
      </c>
      <c r="E576" s="9">
        <v>20.47</v>
      </c>
      <c r="F576" s="8" t="s">
        <v>11</v>
      </c>
      <c r="G576" s="8">
        <v>20.47</v>
      </c>
      <c r="H576" s="10">
        <f t="shared" si="16"/>
        <v>8</v>
      </c>
      <c r="I576" s="10">
        <f>YEAR(Sheet1!$A576)</f>
        <v>2024</v>
      </c>
      <c r="J576" s="10">
        <f>DAY(Sheet1!$A576)</f>
        <v>22</v>
      </c>
      <c r="K576" s="12" t="s">
        <v>2023</v>
      </c>
      <c r="L576" s="13" t="str">
        <f t="shared" si="17"/>
        <v>Regular Customer</v>
      </c>
    </row>
    <row r="577" spans="1:12" ht="15.75" customHeight="1" x14ac:dyDescent="0.3">
      <c r="A577" s="14">
        <v>45767</v>
      </c>
      <c r="B577" s="15" t="s">
        <v>95</v>
      </c>
      <c r="C577" s="15" t="s">
        <v>13</v>
      </c>
      <c r="D577" s="15" t="s">
        <v>14</v>
      </c>
      <c r="E577" s="16">
        <v>20.54</v>
      </c>
      <c r="F577" s="15" t="s">
        <v>10</v>
      </c>
      <c r="G577" s="15">
        <v>20.54</v>
      </c>
      <c r="H577" s="17">
        <f t="shared" si="16"/>
        <v>4</v>
      </c>
      <c r="I577" s="17">
        <f>YEAR(Sheet1!$A577)</f>
        <v>2025</v>
      </c>
      <c r="J577" s="17">
        <f>DAY(Sheet1!$A577)</f>
        <v>20</v>
      </c>
      <c r="K577" s="18" t="s">
        <v>2023</v>
      </c>
      <c r="L577" s="19" t="str">
        <f t="shared" si="17"/>
        <v>Regular Customer</v>
      </c>
    </row>
    <row r="578" spans="1:12" ht="15.75" customHeight="1" x14ac:dyDescent="0.3">
      <c r="A578" s="7">
        <v>45575</v>
      </c>
      <c r="B578" s="8" t="s">
        <v>1884</v>
      </c>
      <c r="C578" s="8" t="s">
        <v>24</v>
      </c>
      <c r="D578" s="8" t="s">
        <v>14</v>
      </c>
      <c r="E578" s="9">
        <v>6.85</v>
      </c>
      <c r="F578" s="8" t="s">
        <v>10</v>
      </c>
      <c r="G578" s="8">
        <v>20.55</v>
      </c>
      <c r="H578" s="10">
        <f t="shared" ref="H578:H641" si="18">MONTH(A578)</f>
        <v>10</v>
      </c>
      <c r="I578" s="10">
        <f>YEAR(Sheet1!$A578)</f>
        <v>2024</v>
      </c>
      <c r="J578" s="10">
        <f>DAY(Sheet1!$A578)</f>
        <v>10</v>
      </c>
      <c r="K578" s="12" t="s">
        <v>2022</v>
      </c>
      <c r="L578" s="13" t="str">
        <f t="shared" ref="L578:L641" si="19">IF(G578&gt;50,"Premium Customer","Regular Customer")</f>
        <v>Regular Customer</v>
      </c>
    </row>
    <row r="579" spans="1:12" ht="15.75" customHeight="1" x14ac:dyDescent="0.3">
      <c r="A579" s="14">
        <v>45772</v>
      </c>
      <c r="B579" s="15" t="s">
        <v>762</v>
      </c>
      <c r="C579" s="15" t="s">
        <v>8</v>
      </c>
      <c r="D579" s="15" t="s">
        <v>19</v>
      </c>
      <c r="E579" s="16">
        <v>20.56</v>
      </c>
      <c r="F579" s="15" t="s">
        <v>11</v>
      </c>
      <c r="G579" s="15">
        <v>20.56</v>
      </c>
      <c r="H579" s="17">
        <f t="shared" si="18"/>
        <v>4</v>
      </c>
      <c r="I579" s="17">
        <f>YEAR(Sheet1!$A579)</f>
        <v>2025</v>
      </c>
      <c r="J579" s="17">
        <f>DAY(Sheet1!$A579)</f>
        <v>25</v>
      </c>
      <c r="K579" s="18" t="s">
        <v>2022</v>
      </c>
      <c r="L579" s="19" t="str">
        <f t="shared" si="19"/>
        <v>Regular Customer</v>
      </c>
    </row>
    <row r="580" spans="1:12" ht="15.75" customHeight="1" x14ac:dyDescent="0.3">
      <c r="A580" s="7">
        <v>45666</v>
      </c>
      <c r="B580" s="8" t="s">
        <v>1813</v>
      </c>
      <c r="C580" s="8" t="s">
        <v>18</v>
      </c>
      <c r="D580" s="8" t="s">
        <v>19</v>
      </c>
      <c r="E580" s="9">
        <v>20.58</v>
      </c>
      <c r="F580" s="8" t="s">
        <v>11</v>
      </c>
      <c r="G580" s="8">
        <v>20.58</v>
      </c>
      <c r="H580" s="10">
        <f t="shared" si="18"/>
        <v>1</v>
      </c>
      <c r="I580" s="10">
        <f>YEAR(Sheet1!$A580)</f>
        <v>2025</v>
      </c>
      <c r="J580" s="10">
        <f>DAY(Sheet1!$A580)</f>
        <v>9</v>
      </c>
      <c r="K580" s="12" t="s">
        <v>2022</v>
      </c>
      <c r="L580" s="13" t="str">
        <f t="shared" si="19"/>
        <v>Regular Customer</v>
      </c>
    </row>
    <row r="581" spans="1:12" ht="15.75" customHeight="1" x14ac:dyDescent="0.3">
      <c r="A581" s="14">
        <v>45468</v>
      </c>
      <c r="B581" s="15" t="s">
        <v>1435</v>
      </c>
      <c r="C581" s="15" t="s">
        <v>13</v>
      </c>
      <c r="D581" s="15" t="s">
        <v>19</v>
      </c>
      <c r="E581" s="16">
        <v>20.62</v>
      </c>
      <c r="F581" s="15" t="s">
        <v>11</v>
      </c>
      <c r="G581" s="15">
        <v>20.62</v>
      </c>
      <c r="H581" s="17">
        <f t="shared" si="18"/>
        <v>6</v>
      </c>
      <c r="I581" s="17">
        <f>YEAR(Sheet1!$A581)</f>
        <v>2024</v>
      </c>
      <c r="J581" s="17">
        <f>DAY(Sheet1!$A581)</f>
        <v>25</v>
      </c>
      <c r="K581" s="18" t="s">
        <v>2023</v>
      </c>
      <c r="L581" s="19" t="str">
        <f t="shared" si="19"/>
        <v>Regular Customer</v>
      </c>
    </row>
    <row r="582" spans="1:12" ht="15.75" customHeight="1" x14ac:dyDescent="0.3">
      <c r="A582" s="7">
        <v>45499</v>
      </c>
      <c r="B582" s="8" t="s">
        <v>595</v>
      </c>
      <c r="C582" s="8" t="s">
        <v>8</v>
      </c>
      <c r="D582" s="8" t="s">
        <v>19</v>
      </c>
      <c r="E582" s="9">
        <v>10.31</v>
      </c>
      <c r="F582" s="8" t="s">
        <v>11</v>
      </c>
      <c r="G582" s="8">
        <v>20.62</v>
      </c>
      <c r="H582" s="10">
        <f t="shared" si="18"/>
        <v>7</v>
      </c>
      <c r="I582" s="10">
        <f>YEAR(Sheet1!$A582)</f>
        <v>2024</v>
      </c>
      <c r="J582" s="10">
        <f>DAY(Sheet1!$A582)</f>
        <v>26</v>
      </c>
      <c r="K582" s="12" t="s">
        <v>2022</v>
      </c>
      <c r="L582" s="13" t="str">
        <f t="shared" si="19"/>
        <v>Regular Customer</v>
      </c>
    </row>
    <row r="583" spans="1:12" ht="15.75" customHeight="1" x14ac:dyDescent="0.3">
      <c r="A583" s="14">
        <v>45494</v>
      </c>
      <c r="B583" s="15" t="s">
        <v>647</v>
      </c>
      <c r="C583" s="15" t="s">
        <v>18</v>
      </c>
      <c r="D583" s="15" t="s">
        <v>14</v>
      </c>
      <c r="E583" s="16">
        <v>20.63</v>
      </c>
      <c r="F583" s="15" t="s">
        <v>11</v>
      </c>
      <c r="G583" s="15">
        <v>20.63</v>
      </c>
      <c r="H583" s="17">
        <f t="shared" si="18"/>
        <v>7</v>
      </c>
      <c r="I583" s="17">
        <f>YEAR(Sheet1!$A583)</f>
        <v>2024</v>
      </c>
      <c r="J583" s="17">
        <f>DAY(Sheet1!$A583)</f>
        <v>21</v>
      </c>
      <c r="K583" s="18" t="s">
        <v>2022</v>
      </c>
      <c r="L583" s="19" t="str">
        <f t="shared" si="19"/>
        <v>Regular Customer</v>
      </c>
    </row>
    <row r="584" spans="1:12" ht="15.75" customHeight="1" x14ac:dyDescent="0.3">
      <c r="A584" s="7">
        <v>45718</v>
      </c>
      <c r="B584" s="8" t="s">
        <v>1158</v>
      </c>
      <c r="C584" s="8" t="s">
        <v>13</v>
      </c>
      <c r="D584" s="8" t="s">
        <v>16</v>
      </c>
      <c r="E584" s="9">
        <v>20.66</v>
      </c>
      <c r="F584" s="8" t="s">
        <v>11</v>
      </c>
      <c r="G584" s="8">
        <v>20.66</v>
      </c>
      <c r="H584" s="10">
        <f t="shared" si="18"/>
        <v>3</v>
      </c>
      <c r="I584" s="10">
        <f>YEAR(Sheet1!$A584)</f>
        <v>2025</v>
      </c>
      <c r="J584" s="10">
        <f>DAY(Sheet1!$A584)</f>
        <v>2</v>
      </c>
      <c r="K584" s="12" t="s">
        <v>2022</v>
      </c>
      <c r="L584" s="13" t="str">
        <f t="shared" si="19"/>
        <v>Regular Customer</v>
      </c>
    </row>
    <row r="585" spans="1:12" ht="15.75" customHeight="1" x14ac:dyDescent="0.3">
      <c r="A585" s="14">
        <v>45504</v>
      </c>
      <c r="B585" s="15" t="s">
        <v>1623</v>
      </c>
      <c r="C585" s="15" t="s">
        <v>18</v>
      </c>
      <c r="D585" s="15" t="s">
        <v>9</v>
      </c>
      <c r="E585" s="16">
        <v>20.68</v>
      </c>
      <c r="F585" s="15" t="s">
        <v>10</v>
      </c>
      <c r="G585" s="15">
        <v>20.68</v>
      </c>
      <c r="H585" s="17">
        <f t="shared" si="18"/>
        <v>7</v>
      </c>
      <c r="I585" s="17">
        <f>YEAR(Sheet1!$A585)</f>
        <v>2024</v>
      </c>
      <c r="J585" s="17">
        <f>DAY(Sheet1!$A585)</f>
        <v>31</v>
      </c>
      <c r="K585" s="18" t="s">
        <v>2023</v>
      </c>
      <c r="L585" s="19" t="str">
        <f t="shared" si="19"/>
        <v>Regular Customer</v>
      </c>
    </row>
    <row r="586" spans="1:12" ht="15.75" customHeight="1" x14ac:dyDescent="0.3">
      <c r="A586" s="7">
        <v>45465</v>
      </c>
      <c r="B586" s="8" t="s">
        <v>748</v>
      </c>
      <c r="C586" s="8" t="s">
        <v>8</v>
      </c>
      <c r="D586" s="8" t="s">
        <v>19</v>
      </c>
      <c r="E586" s="9">
        <v>6.9</v>
      </c>
      <c r="F586" s="8" t="s">
        <v>11</v>
      </c>
      <c r="G586" s="8">
        <v>20.7</v>
      </c>
      <c r="H586" s="10">
        <f t="shared" si="18"/>
        <v>6</v>
      </c>
      <c r="I586" s="10">
        <f>YEAR(Sheet1!$A586)</f>
        <v>2024</v>
      </c>
      <c r="J586" s="10">
        <f>DAY(Sheet1!$A586)</f>
        <v>22</v>
      </c>
      <c r="K586" s="12" t="s">
        <v>2022</v>
      </c>
      <c r="L586" s="13" t="str">
        <f t="shared" si="19"/>
        <v>Regular Customer</v>
      </c>
    </row>
    <row r="587" spans="1:12" ht="15.75" customHeight="1" x14ac:dyDescent="0.3">
      <c r="A587" s="14">
        <v>45649</v>
      </c>
      <c r="B587" s="15" t="s">
        <v>1443</v>
      </c>
      <c r="C587" s="15" t="s">
        <v>18</v>
      </c>
      <c r="D587" s="15" t="s">
        <v>9</v>
      </c>
      <c r="E587" s="16">
        <v>10.35</v>
      </c>
      <c r="F587" s="15" t="s">
        <v>10</v>
      </c>
      <c r="G587" s="15">
        <v>20.7</v>
      </c>
      <c r="H587" s="17">
        <f t="shared" si="18"/>
        <v>12</v>
      </c>
      <c r="I587" s="17">
        <f>YEAR(Sheet1!$A587)</f>
        <v>2024</v>
      </c>
      <c r="J587" s="17">
        <f>DAY(Sheet1!$A587)</f>
        <v>23</v>
      </c>
      <c r="K587" s="18" t="s">
        <v>2022</v>
      </c>
      <c r="L587" s="19" t="str">
        <f t="shared" si="19"/>
        <v>Regular Customer</v>
      </c>
    </row>
    <row r="588" spans="1:12" ht="15.75" customHeight="1" x14ac:dyDescent="0.3">
      <c r="A588" s="7">
        <v>45693</v>
      </c>
      <c r="B588" s="8" t="s">
        <v>1531</v>
      </c>
      <c r="C588" s="8" t="s">
        <v>13</v>
      </c>
      <c r="D588" s="8" t="s">
        <v>16</v>
      </c>
      <c r="E588" s="9">
        <v>6.9</v>
      </c>
      <c r="F588" s="8" t="s">
        <v>11</v>
      </c>
      <c r="G588" s="8">
        <v>20.7</v>
      </c>
      <c r="H588" s="10">
        <f t="shared" si="18"/>
        <v>2</v>
      </c>
      <c r="I588" s="10">
        <f>YEAR(Sheet1!$A588)</f>
        <v>2025</v>
      </c>
      <c r="J588" s="10">
        <f>DAY(Sheet1!$A588)</f>
        <v>5</v>
      </c>
      <c r="K588" s="12" t="s">
        <v>2022</v>
      </c>
      <c r="L588" s="13" t="str">
        <f t="shared" si="19"/>
        <v>Regular Customer</v>
      </c>
    </row>
    <row r="589" spans="1:12" ht="15.75" customHeight="1" x14ac:dyDescent="0.3">
      <c r="A589" s="14">
        <v>45632</v>
      </c>
      <c r="B589" s="15" t="s">
        <v>1289</v>
      </c>
      <c r="C589" s="15" t="s">
        <v>24</v>
      </c>
      <c r="D589" s="15" t="s">
        <v>9</v>
      </c>
      <c r="E589" s="16">
        <v>20.72</v>
      </c>
      <c r="F589" s="15" t="s">
        <v>11</v>
      </c>
      <c r="G589" s="15">
        <v>20.72</v>
      </c>
      <c r="H589" s="17">
        <f t="shared" si="18"/>
        <v>12</v>
      </c>
      <c r="I589" s="17">
        <f>YEAR(Sheet1!$A589)</f>
        <v>2024</v>
      </c>
      <c r="J589" s="17">
        <f>DAY(Sheet1!$A589)</f>
        <v>6</v>
      </c>
      <c r="K589" s="18" t="s">
        <v>2023</v>
      </c>
      <c r="L589" s="19" t="str">
        <f t="shared" si="19"/>
        <v>Regular Customer</v>
      </c>
    </row>
    <row r="590" spans="1:12" ht="15.75" customHeight="1" x14ac:dyDescent="0.3">
      <c r="A590" s="7">
        <v>45691</v>
      </c>
      <c r="B590" s="8" t="s">
        <v>784</v>
      </c>
      <c r="C590" s="8" t="s">
        <v>24</v>
      </c>
      <c r="D590" s="8" t="s">
        <v>9</v>
      </c>
      <c r="E590" s="9">
        <v>20.76</v>
      </c>
      <c r="F590" s="8" t="s">
        <v>10</v>
      </c>
      <c r="G590" s="8">
        <v>20.76</v>
      </c>
      <c r="H590" s="10">
        <f t="shared" si="18"/>
        <v>2</v>
      </c>
      <c r="I590" s="10">
        <f>YEAR(Sheet1!$A590)</f>
        <v>2025</v>
      </c>
      <c r="J590" s="10">
        <f>DAY(Sheet1!$A590)</f>
        <v>3</v>
      </c>
      <c r="K590" s="12" t="s">
        <v>2022</v>
      </c>
      <c r="L590" s="13" t="str">
        <f t="shared" si="19"/>
        <v>Regular Customer</v>
      </c>
    </row>
    <row r="591" spans="1:12" ht="15.75" customHeight="1" x14ac:dyDescent="0.3">
      <c r="A591" s="14">
        <v>45416</v>
      </c>
      <c r="B591" s="15" t="s">
        <v>1856</v>
      </c>
      <c r="C591" s="15" t="s">
        <v>8</v>
      </c>
      <c r="D591" s="15" t="s">
        <v>14</v>
      </c>
      <c r="E591" s="16">
        <v>20.82</v>
      </c>
      <c r="F591" s="15" t="s">
        <v>11</v>
      </c>
      <c r="G591" s="15">
        <v>20.82</v>
      </c>
      <c r="H591" s="17">
        <f t="shared" si="18"/>
        <v>5</v>
      </c>
      <c r="I591" s="17">
        <f>YEAR(Sheet1!$A591)</f>
        <v>2024</v>
      </c>
      <c r="J591" s="17">
        <f>DAY(Sheet1!$A591)</f>
        <v>4</v>
      </c>
      <c r="K591" s="18" t="s">
        <v>2022</v>
      </c>
      <c r="L591" s="19" t="str">
        <f t="shared" si="19"/>
        <v>Regular Customer</v>
      </c>
    </row>
    <row r="592" spans="1:12" ht="15.75" customHeight="1" x14ac:dyDescent="0.3">
      <c r="A592" s="7">
        <v>45534</v>
      </c>
      <c r="B592" s="8" t="s">
        <v>1644</v>
      </c>
      <c r="C592" s="8" t="s">
        <v>13</v>
      </c>
      <c r="D592" s="8" t="s">
        <v>14</v>
      </c>
      <c r="E592" s="9">
        <v>10.41</v>
      </c>
      <c r="F592" s="8" t="s">
        <v>10</v>
      </c>
      <c r="G592" s="8">
        <v>20.82</v>
      </c>
      <c r="H592" s="10">
        <f t="shared" si="18"/>
        <v>8</v>
      </c>
      <c r="I592" s="10">
        <f>YEAR(Sheet1!$A592)</f>
        <v>2024</v>
      </c>
      <c r="J592" s="10">
        <f>DAY(Sheet1!$A592)</f>
        <v>30</v>
      </c>
      <c r="K592" s="12" t="s">
        <v>2022</v>
      </c>
      <c r="L592" s="13" t="str">
        <f t="shared" si="19"/>
        <v>Regular Customer</v>
      </c>
    </row>
    <row r="593" spans="1:12" ht="15.75" customHeight="1" x14ac:dyDescent="0.3">
      <c r="A593" s="14">
        <v>45769</v>
      </c>
      <c r="B593" s="15" t="s">
        <v>761</v>
      </c>
      <c r="C593" s="15" t="s">
        <v>8</v>
      </c>
      <c r="D593" s="15" t="s">
        <v>14</v>
      </c>
      <c r="E593" s="16">
        <v>20.84</v>
      </c>
      <c r="F593" s="15" t="s">
        <v>11</v>
      </c>
      <c r="G593" s="15">
        <v>20.84</v>
      </c>
      <c r="H593" s="17">
        <f t="shared" si="18"/>
        <v>4</v>
      </c>
      <c r="I593" s="17">
        <f>YEAR(Sheet1!$A593)</f>
        <v>2025</v>
      </c>
      <c r="J593" s="17">
        <f>DAY(Sheet1!$A593)</f>
        <v>22</v>
      </c>
      <c r="K593" s="18" t="s">
        <v>2022</v>
      </c>
      <c r="L593" s="19" t="str">
        <f t="shared" si="19"/>
        <v>Regular Customer</v>
      </c>
    </row>
    <row r="594" spans="1:12" ht="15.75" customHeight="1" x14ac:dyDescent="0.3">
      <c r="A594" s="7">
        <v>45752</v>
      </c>
      <c r="B594" s="8" t="s">
        <v>1294</v>
      </c>
      <c r="C594" s="8" t="s">
        <v>13</v>
      </c>
      <c r="D594" s="8" t="s">
        <v>14</v>
      </c>
      <c r="E594" s="9">
        <v>20.87</v>
      </c>
      <c r="F594" s="8" t="s">
        <v>10</v>
      </c>
      <c r="G594" s="8">
        <v>20.87</v>
      </c>
      <c r="H594" s="10">
        <f t="shared" si="18"/>
        <v>4</v>
      </c>
      <c r="I594" s="10">
        <f>YEAR(Sheet1!$A594)</f>
        <v>2025</v>
      </c>
      <c r="J594" s="10">
        <f>DAY(Sheet1!$A594)</f>
        <v>5</v>
      </c>
      <c r="K594" s="12" t="s">
        <v>2023</v>
      </c>
      <c r="L594" s="13" t="str">
        <f t="shared" si="19"/>
        <v>Regular Customer</v>
      </c>
    </row>
    <row r="595" spans="1:12" ht="15.75" customHeight="1" x14ac:dyDescent="0.3">
      <c r="A595" s="14">
        <v>45530</v>
      </c>
      <c r="B595" s="15" t="s">
        <v>561</v>
      </c>
      <c r="C595" s="15" t="s">
        <v>24</v>
      </c>
      <c r="D595" s="15" t="s">
        <v>19</v>
      </c>
      <c r="E595" s="16">
        <v>20.89</v>
      </c>
      <c r="F595" s="15" t="s">
        <v>11</v>
      </c>
      <c r="G595" s="15">
        <v>20.89</v>
      </c>
      <c r="H595" s="17">
        <f t="shared" si="18"/>
        <v>8</v>
      </c>
      <c r="I595" s="17">
        <f>YEAR(Sheet1!$A595)</f>
        <v>2024</v>
      </c>
      <c r="J595" s="17">
        <f>DAY(Sheet1!$A595)</f>
        <v>26</v>
      </c>
      <c r="K595" s="18" t="s">
        <v>2023</v>
      </c>
      <c r="L595" s="19" t="str">
        <f t="shared" si="19"/>
        <v>Regular Customer</v>
      </c>
    </row>
    <row r="596" spans="1:12" ht="15.75" customHeight="1" x14ac:dyDescent="0.3">
      <c r="A596" s="7">
        <v>45590</v>
      </c>
      <c r="B596" s="8" t="s">
        <v>308</v>
      </c>
      <c r="C596" s="8" t="s">
        <v>13</v>
      </c>
      <c r="D596" s="8" t="s">
        <v>9</v>
      </c>
      <c r="E596" s="9">
        <v>10.45</v>
      </c>
      <c r="F596" s="8" t="s">
        <v>11</v>
      </c>
      <c r="G596" s="8">
        <v>20.9</v>
      </c>
      <c r="H596" s="10">
        <f t="shared" si="18"/>
        <v>10</v>
      </c>
      <c r="I596" s="10">
        <f>YEAR(Sheet1!$A596)</f>
        <v>2024</v>
      </c>
      <c r="J596" s="10">
        <f>DAY(Sheet1!$A596)</f>
        <v>25</v>
      </c>
      <c r="K596" s="12" t="s">
        <v>2022</v>
      </c>
      <c r="L596" s="13" t="str">
        <f t="shared" si="19"/>
        <v>Regular Customer</v>
      </c>
    </row>
    <row r="597" spans="1:12" ht="15.75" customHeight="1" x14ac:dyDescent="0.3">
      <c r="A597" s="14">
        <v>45727</v>
      </c>
      <c r="B597" s="15" t="s">
        <v>628</v>
      </c>
      <c r="C597" s="15" t="s">
        <v>8</v>
      </c>
      <c r="D597" s="15" t="s">
        <v>9</v>
      </c>
      <c r="E597" s="16">
        <v>10.45</v>
      </c>
      <c r="F597" s="15" t="s">
        <v>11</v>
      </c>
      <c r="G597" s="15">
        <v>20.9</v>
      </c>
      <c r="H597" s="17">
        <f t="shared" si="18"/>
        <v>3</v>
      </c>
      <c r="I597" s="17">
        <f>YEAR(Sheet1!$A597)</f>
        <v>2025</v>
      </c>
      <c r="J597" s="17">
        <f>DAY(Sheet1!$A597)</f>
        <v>11</v>
      </c>
      <c r="K597" s="18" t="s">
        <v>2022</v>
      </c>
      <c r="L597" s="19" t="str">
        <f t="shared" si="19"/>
        <v>Regular Customer</v>
      </c>
    </row>
    <row r="598" spans="1:12" ht="15.75" customHeight="1" x14ac:dyDescent="0.3">
      <c r="A598" s="7">
        <v>45449</v>
      </c>
      <c r="B598" s="8" t="s">
        <v>993</v>
      </c>
      <c r="C598" s="8" t="s">
        <v>18</v>
      </c>
      <c r="D598" s="8" t="s">
        <v>19</v>
      </c>
      <c r="E598" s="9">
        <v>20.91</v>
      </c>
      <c r="F598" s="8" t="s">
        <v>11</v>
      </c>
      <c r="G598" s="8">
        <v>20.91</v>
      </c>
      <c r="H598" s="10">
        <f t="shared" si="18"/>
        <v>6</v>
      </c>
      <c r="I598" s="10">
        <f>YEAR(Sheet1!$A598)</f>
        <v>2024</v>
      </c>
      <c r="J598" s="10">
        <f>DAY(Sheet1!$A598)</f>
        <v>6</v>
      </c>
      <c r="K598" s="12" t="s">
        <v>2022</v>
      </c>
      <c r="L598" s="13" t="str">
        <f t="shared" si="19"/>
        <v>Regular Customer</v>
      </c>
    </row>
    <row r="599" spans="1:12" ht="15.75" customHeight="1" x14ac:dyDescent="0.3">
      <c r="A599" s="14">
        <v>45764</v>
      </c>
      <c r="B599" s="15" t="s">
        <v>744</v>
      </c>
      <c r="C599" s="15" t="s">
        <v>13</v>
      </c>
      <c r="D599" s="15" t="s">
        <v>14</v>
      </c>
      <c r="E599" s="16">
        <v>20.92</v>
      </c>
      <c r="F599" s="15" t="s">
        <v>11</v>
      </c>
      <c r="G599" s="15">
        <v>20.92</v>
      </c>
      <c r="H599" s="17">
        <f t="shared" si="18"/>
        <v>4</v>
      </c>
      <c r="I599" s="17">
        <f>YEAR(Sheet1!$A599)</f>
        <v>2025</v>
      </c>
      <c r="J599" s="17">
        <f>DAY(Sheet1!$A599)</f>
        <v>17</v>
      </c>
      <c r="K599" s="18" t="s">
        <v>2023</v>
      </c>
      <c r="L599" s="19" t="str">
        <f t="shared" si="19"/>
        <v>Regular Customer</v>
      </c>
    </row>
    <row r="600" spans="1:12" ht="15.75" customHeight="1" x14ac:dyDescent="0.3">
      <c r="A600" s="7">
        <v>45560</v>
      </c>
      <c r="B600" s="8" t="s">
        <v>945</v>
      </c>
      <c r="C600" s="8" t="s">
        <v>13</v>
      </c>
      <c r="D600" s="8" t="s">
        <v>16</v>
      </c>
      <c r="E600" s="9">
        <v>20.94</v>
      </c>
      <c r="F600" s="8" t="s">
        <v>11</v>
      </c>
      <c r="G600" s="8">
        <v>20.94</v>
      </c>
      <c r="H600" s="10">
        <f t="shared" si="18"/>
        <v>9</v>
      </c>
      <c r="I600" s="10">
        <f>YEAR(Sheet1!$A600)</f>
        <v>2024</v>
      </c>
      <c r="J600" s="10">
        <f>DAY(Sheet1!$A600)</f>
        <v>25</v>
      </c>
      <c r="K600" s="12" t="s">
        <v>2023</v>
      </c>
      <c r="L600" s="13" t="str">
        <f t="shared" si="19"/>
        <v>Regular Customer</v>
      </c>
    </row>
    <row r="601" spans="1:12" ht="15.75" customHeight="1" x14ac:dyDescent="0.3">
      <c r="A601" s="14">
        <v>45587</v>
      </c>
      <c r="B601" s="15" t="s">
        <v>920</v>
      </c>
      <c r="C601" s="15" t="s">
        <v>24</v>
      </c>
      <c r="D601" s="15" t="s">
        <v>14</v>
      </c>
      <c r="E601" s="16">
        <v>20.95</v>
      </c>
      <c r="F601" s="15" t="s">
        <v>10</v>
      </c>
      <c r="G601" s="15">
        <v>20.95</v>
      </c>
      <c r="H601" s="17">
        <f t="shared" si="18"/>
        <v>10</v>
      </c>
      <c r="I601" s="17">
        <f>YEAR(Sheet1!$A601)</f>
        <v>2024</v>
      </c>
      <c r="J601" s="17">
        <f>DAY(Sheet1!$A601)</f>
        <v>22</v>
      </c>
      <c r="K601" s="18" t="s">
        <v>2022</v>
      </c>
      <c r="L601" s="19" t="str">
        <f t="shared" si="19"/>
        <v>Regular Customer</v>
      </c>
    </row>
    <row r="602" spans="1:12" ht="15.75" customHeight="1" x14ac:dyDescent="0.3">
      <c r="A602" s="7">
        <v>45435</v>
      </c>
      <c r="B602" s="8" t="s">
        <v>1060</v>
      </c>
      <c r="C602" s="8" t="s">
        <v>13</v>
      </c>
      <c r="D602" s="8" t="s">
        <v>19</v>
      </c>
      <c r="E602" s="9">
        <v>10.48</v>
      </c>
      <c r="F602" s="8" t="s">
        <v>11</v>
      </c>
      <c r="G602" s="8">
        <v>20.96</v>
      </c>
      <c r="H602" s="10">
        <f t="shared" si="18"/>
        <v>5</v>
      </c>
      <c r="I602" s="10">
        <f>YEAR(Sheet1!$A602)</f>
        <v>2024</v>
      </c>
      <c r="J602" s="10">
        <f>DAY(Sheet1!$A602)</f>
        <v>23</v>
      </c>
      <c r="K602" s="12" t="s">
        <v>2023</v>
      </c>
      <c r="L602" s="13" t="str">
        <f t="shared" si="19"/>
        <v>Regular Customer</v>
      </c>
    </row>
    <row r="603" spans="1:12" ht="15.75" customHeight="1" x14ac:dyDescent="0.3">
      <c r="A603" s="14">
        <v>45471</v>
      </c>
      <c r="B603" s="15" t="s">
        <v>301</v>
      </c>
      <c r="C603" s="15" t="s">
        <v>24</v>
      </c>
      <c r="D603" s="15" t="s">
        <v>19</v>
      </c>
      <c r="E603" s="16">
        <v>20.97</v>
      </c>
      <c r="F603" s="15" t="s">
        <v>11</v>
      </c>
      <c r="G603" s="15">
        <v>20.97</v>
      </c>
      <c r="H603" s="17">
        <f t="shared" si="18"/>
        <v>6</v>
      </c>
      <c r="I603" s="17">
        <f>YEAR(Sheet1!$A603)</f>
        <v>2024</v>
      </c>
      <c r="J603" s="17">
        <f>DAY(Sheet1!$A603)</f>
        <v>28</v>
      </c>
      <c r="K603" s="18" t="s">
        <v>2023</v>
      </c>
      <c r="L603" s="19" t="str">
        <f t="shared" si="19"/>
        <v>Regular Customer</v>
      </c>
    </row>
    <row r="604" spans="1:12" ht="15.75" customHeight="1" x14ac:dyDescent="0.3">
      <c r="A604" s="7">
        <v>45669</v>
      </c>
      <c r="B604" s="8" t="s">
        <v>235</v>
      </c>
      <c r="C604" s="8" t="s">
        <v>8</v>
      </c>
      <c r="D604" s="8" t="s">
        <v>16</v>
      </c>
      <c r="E604" s="9">
        <v>20.98</v>
      </c>
      <c r="F604" s="8" t="s">
        <v>11</v>
      </c>
      <c r="G604" s="8">
        <v>20.98</v>
      </c>
      <c r="H604" s="10">
        <f t="shared" si="18"/>
        <v>1</v>
      </c>
      <c r="I604" s="10">
        <f>YEAR(Sheet1!$A604)</f>
        <v>2025</v>
      </c>
      <c r="J604" s="10">
        <f>DAY(Sheet1!$A604)</f>
        <v>12</v>
      </c>
      <c r="K604" s="12" t="s">
        <v>2022</v>
      </c>
      <c r="L604" s="13" t="str">
        <f t="shared" si="19"/>
        <v>Regular Customer</v>
      </c>
    </row>
    <row r="605" spans="1:12" ht="15.75" customHeight="1" x14ac:dyDescent="0.3">
      <c r="A605" s="14">
        <v>45608</v>
      </c>
      <c r="B605" s="15" t="s">
        <v>1305</v>
      </c>
      <c r="C605" s="15" t="s">
        <v>24</v>
      </c>
      <c r="D605" s="15" t="s">
        <v>14</v>
      </c>
      <c r="E605" s="16">
        <v>10.51</v>
      </c>
      <c r="F605" s="15" t="s">
        <v>10</v>
      </c>
      <c r="G605" s="15">
        <v>21.02</v>
      </c>
      <c r="H605" s="17">
        <f t="shared" si="18"/>
        <v>11</v>
      </c>
      <c r="I605" s="17">
        <f>YEAR(Sheet1!$A605)</f>
        <v>2024</v>
      </c>
      <c r="J605" s="17">
        <f>DAY(Sheet1!$A605)</f>
        <v>12</v>
      </c>
      <c r="K605" s="18" t="s">
        <v>2023</v>
      </c>
      <c r="L605" s="19" t="str">
        <f t="shared" si="19"/>
        <v>Regular Customer</v>
      </c>
    </row>
    <row r="606" spans="1:12" ht="15.75" customHeight="1" x14ac:dyDescent="0.3">
      <c r="A606" s="7">
        <v>45700</v>
      </c>
      <c r="B606" s="8" t="s">
        <v>558</v>
      </c>
      <c r="C606" s="8" t="s">
        <v>18</v>
      </c>
      <c r="D606" s="8" t="s">
        <v>14</v>
      </c>
      <c r="E606" s="9">
        <v>21.02</v>
      </c>
      <c r="F606" s="8" t="s">
        <v>10</v>
      </c>
      <c r="G606" s="8">
        <v>21.02</v>
      </c>
      <c r="H606" s="10">
        <f t="shared" si="18"/>
        <v>2</v>
      </c>
      <c r="I606" s="10">
        <f>YEAR(Sheet1!$A606)</f>
        <v>2025</v>
      </c>
      <c r="J606" s="10">
        <f>DAY(Sheet1!$A606)</f>
        <v>12</v>
      </c>
      <c r="K606" s="12" t="s">
        <v>2023</v>
      </c>
      <c r="L606" s="13" t="str">
        <f t="shared" si="19"/>
        <v>Regular Customer</v>
      </c>
    </row>
    <row r="607" spans="1:12" ht="15.75" customHeight="1" x14ac:dyDescent="0.3">
      <c r="A607" s="14">
        <v>45420</v>
      </c>
      <c r="B607" s="15" t="s">
        <v>1870</v>
      </c>
      <c r="C607" s="15" t="s">
        <v>18</v>
      </c>
      <c r="D607" s="15" t="s">
        <v>14</v>
      </c>
      <c r="E607" s="16">
        <v>21.05</v>
      </c>
      <c r="F607" s="15" t="s">
        <v>11</v>
      </c>
      <c r="G607" s="15">
        <v>21.05</v>
      </c>
      <c r="H607" s="17">
        <f t="shared" si="18"/>
        <v>5</v>
      </c>
      <c r="I607" s="17">
        <f>YEAR(Sheet1!$A607)</f>
        <v>2024</v>
      </c>
      <c r="J607" s="17">
        <f>DAY(Sheet1!$A607)</f>
        <v>8</v>
      </c>
      <c r="K607" s="18" t="s">
        <v>2023</v>
      </c>
      <c r="L607" s="19" t="str">
        <f t="shared" si="19"/>
        <v>Regular Customer</v>
      </c>
    </row>
    <row r="608" spans="1:12" ht="15.75" customHeight="1" x14ac:dyDescent="0.3">
      <c r="A608" s="7">
        <v>45614</v>
      </c>
      <c r="B608" s="8" t="s">
        <v>1918</v>
      </c>
      <c r="C608" s="8" t="s">
        <v>13</v>
      </c>
      <c r="D608" s="8" t="s">
        <v>14</v>
      </c>
      <c r="E608" s="9">
        <v>7.03</v>
      </c>
      <c r="F608" s="8" t="s">
        <v>10</v>
      </c>
      <c r="G608" s="8">
        <v>21.09</v>
      </c>
      <c r="H608" s="10">
        <f t="shared" si="18"/>
        <v>11</v>
      </c>
      <c r="I608" s="10">
        <f>YEAR(Sheet1!$A608)</f>
        <v>2024</v>
      </c>
      <c r="J608" s="10">
        <f>DAY(Sheet1!$A608)</f>
        <v>18</v>
      </c>
      <c r="K608" s="12" t="s">
        <v>2022</v>
      </c>
      <c r="L608" s="13" t="str">
        <f t="shared" si="19"/>
        <v>Regular Customer</v>
      </c>
    </row>
    <row r="609" spans="1:12" ht="15.75" customHeight="1" x14ac:dyDescent="0.3">
      <c r="A609" s="14">
        <v>45585</v>
      </c>
      <c r="B609" s="15" t="s">
        <v>1782</v>
      </c>
      <c r="C609" s="15" t="s">
        <v>8</v>
      </c>
      <c r="D609" s="15" t="s">
        <v>16</v>
      </c>
      <c r="E609" s="16">
        <v>10.55</v>
      </c>
      <c r="F609" s="15" t="s">
        <v>11</v>
      </c>
      <c r="G609" s="15">
        <v>21.1</v>
      </c>
      <c r="H609" s="17">
        <f t="shared" si="18"/>
        <v>10</v>
      </c>
      <c r="I609" s="17">
        <f>YEAR(Sheet1!$A609)</f>
        <v>2024</v>
      </c>
      <c r="J609" s="17">
        <f>DAY(Sheet1!$A609)</f>
        <v>20</v>
      </c>
      <c r="K609" s="18" t="s">
        <v>2022</v>
      </c>
      <c r="L609" s="19" t="str">
        <f t="shared" si="19"/>
        <v>Regular Customer</v>
      </c>
    </row>
    <row r="610" spans="1:12" ht="15.75" customHeight="1" x14ac:dyDescent="0.3">
      <c r="A610" s="7">
        <v>45606</v>
      </c>
      <c r="B610" s="8" t="s">
        <v>1417</v>
      </c>
      <c r="C610" s="8" t="s">
        <v>13</v>
      </c>
      <c r="D610" s="8" t="s">
        <v>16</v>
      </c>
      <c r="E610" s="9">
        <v>7.05</v>
      </c>
      <c r="F610" s="8" t="s">
        <v>10</v>
      </c>
      <c r="G610" s="8">
        <v>21.15</v>
      </c>
      <c r="H610" s="10">
        <f t="shared" si="18"/>
        <v>11</v>
      </c>
      <c r="I610" s="10">
        <f>YEAR(Sheet1!$A610)</f>
        <v>2024</v>
      </c>
      <c r="J610" s="10">
        <f>DAY(Sheet1!$A610)</f>
        <v>10</v>
      </c>
      <c r="K610" s="12" t="s">
        <v>2023</v>
      </c>
      <c r="L610" s="13" t="str">
        <f t="shared" si="19"/>
        <v>Regular Customer</v>
      </c>
    </row>
    <row r="611" spans="1:12" ht="15.75" customHeight="1" x14ac:dyDescent="0.3">
      <c r="A611" s="14">
        <v>45682</v>
      </c>
      <c r="B611" s="15" t="s">
        <v>465</v>
      </c>
      <c r="C611" s="15" t="s">
        <v>18</v>
      </c>
      <c r="D611" s="15" t="s">
        <v>19</v>
      </c>
      <c r="E611" s="16">
        <v>21.17</v>
      </c>
      <c r="F611" s="15" t="s">
        <v>10</v>
      </c>
      <c r="G611" s="15">
        <v>21.17</v>
      </c>
      <c r="H611" s="17">
        <f t="shared" si="18"/>
        <v>1</v>
      </c>
      <c r="I611" s="17">
        <f>YEAR(Sheet1!$A611)</f>
        <v>2025</v>
      </c>
      <c r="J611" s="17">
        <f>DAY(Sheet1!$A611)</f>
        <v>25</v>
      </c>
      <c r="K611" s="18" t="s">
        <v>2022</v>
      </c>
      <c r="L611" s="19" t="str">
        <f t="shared" si="19"/>
        <v>Regular Customer</v>
      </c>
    </row>
    <row r="612" spans="1:12" ht="15.75" customHeight="1" x14ac:dyDescent="0.3">
      <c r="A612" s="7">
        <v>45432</v>
      </c>
      <c r="B612" s="8" t="s">
        <v>64</v>
      </c>
      <c r="C612" s="8" t="s">
        <v>24</v>
      </c>
      <c r="D612" s="8" t="s">
        <v>19</v>
      </c>
      <c r="E612" s="9">
        <v>21.18</v>
      </c>
      <c r="F612" s="8" t="s">
        <v>11</v>
      </c>
      <c r="G612" s="8">
        <v>21.18</v>
      </c>
      <c r="H612" s="10">
        <f t="shared" si="18"/>
        <v>5</v>
      </c>
      <c r="I612" s="10">
        <f>YEAR(Sheet1!$A612)</f>
        <v>2024</v>
      </c>
      <c r="J612" s="10">
        <f>DAY(Sheet1!$A612)</f>
        <v>20</v>
      </c>
      <c r="K612" s="12" t="s">
        <v>2023</v>
      </c>
      <c r="L612" s="13" t="str">
        <f t="shared" si="19"/>
        <v>Regular Customer</v>
      </c>
    </row>
    <row r="613" spans="1:12" ht="15.75" customHeight="1" x14ac:dyDescent="0.3">
      <c r="A613" s="14">
        <v>45451</v>
      </c>
      <c r="B613" s="15" t="s">
        <v>1119</v>
      </c>
      <c r="C613" s="15" t="s">
        <v>18</v>
      </c>
      <c r="D613" s="15" t="s">
        <v>16</v>
      </c>
      <c r="E613" s="16">
        <v>7.06</v>
      </c>
      <c r="F613" s="15" t="s">
        <v>10</v>
      </c>
      <c r="G613" s="15">
        <v>21.18</v>
      </c>
      <c r="H613" s="17">
        <f t="shared" si="18"/>
        <v>6</v>
      </c>
      <c r="I613" s="17">
        <f>YEAR(Sheet1!$A613)</f>
        <v>2024</v>
      </c>
      <c r="J613" s="17">
        <f>DAY(Sheet1!$A613)</f>
        <v>8</v>
      </c>
      <c r="K613" s="18" t="s">
        <v>2022</v>
      </c>
      <c r="L613" s="19" t="str">
        <f t="shared" si="19"/>
        <v>Regular Customer</v>
      </c>
    </row>
    <row r="614" spans="1:12" ht="15.75" customHeight="1" x14ac:dyDescent="0.3">
      <c r="A614" s="7">
        <v>45524</v>
      </c>
      <c r="B614" s="8" t="s">
        <v>860</v>
      </c>
      <c r="C614" s="8" t="s">
        <v>8</v>
      </c>
      <c r="D614" s="8" t="s">
        <v>16</v>
      </c>
      <c r="E614" s="9">
        <v>10.62</v>
      </c>
      <c r="F614" s="8" t="s">
        <v>11</v>
      </c>
      <c r="G614" s="8">
        <v>21.24</v>
      </c>
      <c r="H614" s="10">
        <f t="shared" si="18"/>
        <v>8</v>
      </c>
      <c r="I614" s="10">
        <f>YEAR(Sheet1!$A614)</f>
        <v>2024</v>
      </c>
      <c r="J614" s="10">
        <f>DAY(Sheet1!$A614)</f>
        <v>20</v>
      </c>
      <c r="K614" s="12" t="s">
        <v>2022</v>
      </c>
      <c r="L614" s="13" t="str">
        <f t="shared" si="19"/>
        <v>Regular Customer</v>
      </c>
    </row>
    <row r="615" spans="1:12" ht="15.75" customHeight="1" x14ac:dyDescent="0.3">
      <c r="A615" s="14">
        <v>45638</v>
      </c>
      <c r="B615" s="15" t="s">
        <v>1385</v>
      </c>
      <c r="C615" s="15" t="s">
        <v>24</v>
      </c>
      <c r="D615" s="15" t="s">
        <v>14</v>
      </c>
      <c r="E615" s="16">
        <v>10.62</v>
      </c>
      <c r="F615" s="15" t="s">
        <v>10</v>
      </c>
      <c r="G615" s="15">
        <v>21.24</v>
      </c>
      <c r="H615" s="17">
        <f t="shared" si="18"/>
        <v>12</v>
      </c>
      <c r="I615" s="17">
        <f>YEAR(Sheet1!$A615)</f>
        <v>2024</v>
      </c>
      <c r="J615" s="17">
        <f>DAY(Sheet1!$A615)</f>
        <v>12</v>
      </c>
      <c r="K615" s="18" t="s">
        <v>2023</v>
      </c>
      <c r="L615" s="19" t="str">
        <f t="shared" si="19"/>
        <v>Regular Customer</v>
      </c>
    </row>
    <row r="616" spans="1:12" ht="15.75" customHeight="1" x14ac:dyDescent="0.3">
      <c r="A616" s="7">
        <v>45533</v>
      </c>
      <c r="B616" s="8" t="s">
        <v>1273</v>
      </c>
      <c r="C616" s="8" t="s">
        <v>8</v>
      </c>
      <c r="D616" s="8" t="s">
        <v>16</v>
      </c>
      <c r="E616" s="9">
        <v>10.63</v>
      </c>
      <c r="F616" s="8" t="s">
        <v>11</v>
      </c>
      <c r="G616" s="8">
        <v>21.26</v>
      </c>
      <c r="H616" s="10">
        <f t="shared" si="18"/>
        <v>8</v>
      </c>
      <c r="I616" s="10">
        <f>YEAR(Sheet1!$A616)</f>
        <v>2024</v>
      </c>
      <c r="J616" s="10">
        <f>DAY(Sheet1!$A616)</f>
        <v>29</v>
      </c>
      <c r="K616" s="12" t="s">
        <v>2023</v>
      </c>
      <c r="L616" s="13" t="str">
        <f t="shared" si="19"/>
        <v>Regular Customer</v>
      </c>
    </row>
    <row r="617" spans="1:12" ht="15.75" customHeight="1" x14ac:dyDescent="0.3">
      <c r="A617" s="14">
        <v>45762</v>
      </c>
      <c r="B617" s="15" t="s">
        <v>1985</v>
      </c>
      <c r="C617" s="15" t="s">
        <v>24</v>
      </c>
      <c r="D617" s="15" t="s">
        <v>9</v>
      </c>
      <c r="E617" s="16">
        <v>10.63</v>
      </c>
      <c r="F617" s="15" t="s">
        <v>11</v>
      </c>
      <c r="G617" s="15">
        <v>21.26</v>
      </c>
      <c r="H617" s="17">
        <f t="shared" si="18"/>
        <v>4</v>
      </c>
      <c r="I617" s="17">
        <f>YEAR(Sheet1!$A617)</f>
        <v>2025</v>
      </c>
      <c r="J617" s="17">
        <f>DAY(Sheet1!$A617)</f>
        <v>15</v>
      </c>
      <c r="K617" s="18" t="s">
        <v>2023</v>
      </c>
      <c r="L617" s="19" t="str">
        <f t="shared" si="19"/>
        <v>Regular Customer</v>
      </c>
    </row>
    <row r="618" spans="1:12" ht="15.75" customHeight="1" x14ac:dyDescent="0.3">
      <c r="A618" s="7">
        <v>45522</v>
      </c>
      <c r="B618" s="8" t="s">
        <v>529</v>
      </c>
      <c r="C618" s="8" t="s">
        <v>13</v>
      </c>
      <c r="D618" s="8" t="s">
        <v>14</v>
      </c>
      <c r="E618" s="9">
        <v>21.27</v>
      </c>
      <c r="F618" s="8" t="s">
        <v>11</v>
      </c>
      <c r="G618" s="8">
        <v>21.27</v>
      </c>
      <c r="H618" s="10">
        <f t="shared" si="18"/>
        <v>8</v>
      </c>
      <c r="I618" s="10">
        <f>YEAR(Sheet1!$A618)</f>
        <v>2024</v>
      </c>
      <c r="J618" s="10">
        <f>DAY(Sheet1!$A618)</f>
        <v>18</v>
      </c>
      <c r="K618" s="12" t="s">
        <v>2023</v>
      </c>
      <c r="L618" s="13" t="str">
        <f t="shared" si="19"/>
        <v>Regular Customer</v>
      </c>
    </row>
    <row r="619" spans="1:12" ht="15.75" customHeight="1" x14ac:dyDescent="0.3">
      <c r="A619" s="14">
        <v>45533</v>
      </c>
      <c r="B619" s="15" t="s">
        <v>1879</v>
      </c>
      <c r="C619" s="15" t="s">
        <v>18</v>
      </c>
      <c r="D619" s="15" t="s">
        <v>14</v>
      </c>
      <c r="E619" s="16">
        <v>7.09</v>
      </c>
      <c r="F619" s="15" t="s">
        <v>10</v>
      </c>
      <c r="G619" s="15">
        <v>21.27</v>
      </c>
      <c r="H619" s="17">
        <f t="shared" si="18"/>
        <v>8</v>
      </c>
      <c r="I619" s="17">
        <f>YEAR(Sheet1!$A619)</f>
        <v>2024</v>
      </c>
      <c r="J619" s="17">
        <f>DAY(Sheet1!$A619)</f>
        <v>29</v>
      </c>
      <c r="K619" s="18" t="s">
        <v>2022</v>
      </c>
      <c r="L619" s="19" t="str">
        <f t="shared" si="19"/>
        <v>Regular Customer</v>
      </c>
    </row>
    <row r="620" spans="1:12" ht="15.75" customHeight="1" x14ac:dyDescent="0.3">
      <c r="A620" s="7">
        <v>45518</v>
      </c>
      <c r="B620" s="8" t="s">
        <v>678</v>
      </c>
      <c r="C620" s="8" t="s">
        <v>24</v>
      </c>
      <c r="D620" s="8" t="s">
        <v>14</v>
      </c>
      <c r="E620" s="9">
        <v>21.3</v>
      </c>
      <c r="F620" s="8" t="s">
        <v>11</v>
      </c>
      <c r="G620" s="8">
        <v>21.3</v>
      </c>
      <c r="H620" s="10">
        <f t="shared" si="18"/>
        <v>8</v>
      </c>
      <c r="I620" s="10">
        <f>YEAR(Sheet1!$A620)</f>
        <v>2024</v>
      </c>
      <c r="J620" s="10">
        <f>DAY(Sheet1!$A620)</f>
        <v>14</v>
      </c>
      <c r="K620" s="12" t="s">
        <v>2023</v>
      </c>
      <c r="L620" s="13" t="str">
        <f t="shared" si="19"/>
        <v>Regular Customer</v>
      </c>
    </row>
    <row r="621" spans="1:12" ht="15.75" customHeight="1" x14ac:dyDescent="0.3">
      <c r="A621" s="14">
        <v>45722</v>
      </c>
      <c r="B621" s="15" t="s">
        <v>446</v>
      </c>
      <c r="C621" s="15" t="s">
        <v>18</v>
      </c>
      <c r="D621" s="15" t="s">
        <v>19</v>
      </c>
      <c r="E621" s="16">
        <v>21.35</v>
      </c>
      <c r="F621" s="15" t="s">
        <v>10</v>
      </c>
      <c r="G621" s="15">
        <v>21.35</v>
      </c>
      <c r="H621" s="17">
        <f t="shared" si="18"/>
        <v>3</v>
      </c>
      <c r="I621" s="17">
        <f>YEAR(Sheet1!$A621)</f>
        <v>2025</v>
      </c>
      <c r="J621" s="17">
        <f>DAY(Sheet1!$A621)</f>
        <v>6</v>
      </c>
      <c r="K621" s="18" t="s">
        <v>2022</v>
      </c>
      <c r="L621" s="19" t="str">
        <f t="shared" si="19"/>
        <v>Regular Customer</v>
      </c>
    </row>
    <row r="622" spans="1:12" ht="15.75" customHeight="1" x14ac:dyDescent="0.3">
      <c r="A622" s="7">
        <v>45451</v>
      </c>
      <c r="B622" s="8" t="s">
        <v>516</v>
      </c>
      <c r="C622" s="8" t="s">
        <v>18</v>
      </c>
      <c r="D622" s="8" t="s">
        <v>14</v>
      </c>
      <c r="E622" s="9">
        <v>10.7</v>
      </c>
      <c r="F622" s="8" t="s">
        <v>11</v>
      </c>
      <c r="G622" s="8">
        <v>21.4</v>
      </c>
      <c r="H622" s="10">
        <f t="shared" si="18"/>
        <v>6</v>
      </c>
      <c r="I622" s="10">
        <f>YEAR(Sheet1!$A622)</f>
        <v>2024</v>
      </c>
      <c r="J622" s="10">
        <f>DAY(Sheet1!$A622)</f>
        <v>8</v>
      </c>
      <c r="K622" s="12" t="s">
        <v>2023</v>
      </c>
      <c r="L622" s="13" t="str">
        <f t="shared" si="19"/>
        <v>Regular Customer</v>
      </c>
    </row>
    <row r="623" spans="1:12" ht="15.75" customHeight="1" x14ac:dyDescent="0.3">
      <c r="A623" s="14">
        <v>45629</v>
      </c>
      <c r="B623" s="15" t="s">
        <v>735</v>
      </c>
      <c r="C623" s="15" t="s">
        <v>18</v>
      </c>
      <c r="D623" s="15" t="s">
        <v>14</v>
      </c>
      <c r="E623" s="16">
        <v>10.7</v>
      </c>
      <c r="F623" s="15" t="s">
        <v>11</v>
      </c>
      <c r="G623" s="15">
        <v>21.4</v>
      </c>
      <c r="H623" s="17">
        <f t="shared" si="18"/>
        <v>12</v>
      </c>
      <c r="I623" s="17">
        <f>YEAR(Sheet1!$A623)</f>
        <v>2024</v>
      </c>
      <c r="J623" s="17">
        <f>DAY(Sheet1!$A623)</f>
        <v>3</v>
      </c>
      <c r="K623" s="18" t="s">
        <v>2023</v>
      </c>
      <c r="L623" s="19" t="str">
        <f t="shared" si="19"/>
        <v>Regular Customer</v>
      </c>
    </row>
    <row r="624" spans="1:12" ht="15.75" customHeight="1" x14ac:dyDescent="0.3">
      <c r="A624" s="7">
        <v>45487</v>
      </c>
      <c r="B624" s="8" t="s">
        <v>1645</v>
      </c>
      <c r="C624" s="8" t="s">
        <v>8</v>
      </c>
      <c r="D624" s="8" t="s">
        <v>16</v>
      </c>
      <c r="E624" s="9">
        <v>7.14</v>
      </c>
      <c r="F624" s="8" t="s">
        <v>10</v>
      </c>
      <c r="G624" s="8">
        <v>21.42</v>
      </c>
      <c r="H624" s="10">
        <f t="shared" si="18"/>
        <v>7</v>
      </c>
      <c r="I624" s="10">
        <f>YEAR(Sheet1!$A624)</f>
        <v>2024</v>
      </c>
      <c r="J624" s="10">
        <f>DAY(Sheet1!$A624)</f>
        <v>14</v>
      </c>
      <c r="K624" s="12" t="s">
        <v>2022</v>
      </c>
      <c r="L624" s="13" t="str">
        <f t="shared" si="19"/>
        <v>Regular Customer</v>
      </c>
    </row>
    <row r="625" spans="1:12" ht="15.75" customHeight="1" x14ac:dyDescent="0.3">
      <c r="A625" s="14">
        <v>45723</v>
      </c>
      <c r="B625" s="15" t="s">
        <v>1800</v>
      </c>
      <c r="C625" s="15" t="s">
        <v>18</v>
      </c>
      <c r="D625" s="15" t="s">
        <v>19</v>
      </c>
      <c r="E625" s="16">
        <v>10.73</v>
      </c>
      <c r="F625" s="15" t="s">
        <v>11</v>
      </c>
      <c r="G625" s="15">
        <v>21.46</v>
      </c>
      <c r="H625" s="17">
        <f t="shared" si="18"/>
        <v>3</v>
      </c>
      <c r="I625" s="17">
        <f>YEAR(Sheet1!$A625)</f>
        <v>2025</v>
      </c>
      <c r="J625" s="17">
        <f>DAY(Sheet1!$A625)</f>
        <v>7</v>
      </c>
      <c r="K625" s="18" t="s">
        <v>2022</v>
      </c>
      <c r="L625" s="19" t="str">
        <f t="shared" si="19"/>
        <v>Regular Customer</v>
      </c>
    </row>
    <row r="626" spans="1:12" ht="15.75" customHeight="1" x14ac:dyDescent="0.3">
      <c r="A626" s="7">
        <v>45652</v>
      </c>
      <c r="B626" s="8" t="s">
        <v>871</v>
      </c>
      <c r="C626" s="8" t="s">
        <v>8</v>
      </c>
      <c r="D626" s="8" t="s">
        <v>14</v>
      </c>
      <c r="E626" s="9">
        <v>21.49</v>
      </c>
      <c r="F626" s="8" t="s">
        <v>11</v>
      </c>
      <c r="G626" s="8">
        <v>21.49</v>
      </c>
      <c r="H626" s="10">
        <f t="shared" si="18"/>
        <v>12</v>
      </c>
      <c r="I626" s="10">
        <f>YEAR(Sheet1!$A626)</f>
        <v>2024</v>
      </c>
      <c r="J626" s="10">
        <f>DAY(Sheet1!$A626)</f>
        <v>26</v>
      </c>
      <c r="K626" s="12" t="s">
        <v>2022</v>
      </c>
      <c r="L626" s="13" t="str">
        <f t="shared" si="19"/>
        <v>Regular Customer</v>
      </c>
    </row>
    <row r="627" spans="1:12" ht="15.75" customHeight="1" x14ac:dyDescent="0.3">
      <c r="A627" s="14">
        <v>45679</v>
      </c>
      <c r="B627" s="15" t="s">
        <v>1567</v>
      </c>
      <c r="C627" s="15" t="s">
        <v>18</v>
      </c>
      <c r="D627" s="15" t="s">
        <v>9</v>
      </c>
      <c r="E627" s="16">
        <v>10.77</v>
      </c>
      <c r="F627" s="15" t="s">
        <v>10</v>
      </c>
      <c r="G627" s="15">
        <v>21.54</v>
      </c>
      <c r="H627" s="17">
        <f t="shared" si="18"/>
        <v>1</v>
      </c>
      <c r="I627" s="17">
        <f>YEAR(Sheet1!$A627)</f>
        <v>2025</v>
      </c>
      <c r="J627" s="17">
        <f>DAY(Sheet1!$A627)</f>
        <v>22</v>
      </c>
      <c r="K627" s="18" t="s">
        <v>2022</v>
      </c>
      <c r="L627" s="19" t="str">
        <f t="shared" si="19"/>
        <v>Regular Customer</v>
      </c>
    </row>
    <row r="628" spans="1:12" ht="15.75" customHeight="1" x14ac:dyDescent="0.3">
      <c r="A628" s="7">
        <v>45646</v>
      </c>
      <c r="B628" s="8" t="s">
        <v>270</v>
      </c>
      <c r="C628" s="8" t="s">
        <v>13</v>
      </c>
      <c r="D628" s="8" t="s">
        <v>16</v>
      </c>
      <c r="E628" s="9">
        <v>21.55</v>
      </c>
      <c r="F628" s="8" t="s">
        <v>10</v>
      </c>
      <c r="G628" s="8">
        <v>21.55</v>
      </c>
      <c r="H628" s="10">
        <f t="shared" si="18"/>
        <v>12</v>
      </c>
      <c r="I628" s="10">
        <f>YEAR(Sheet1!$A628)</f>
        <v>2024</v>
      </c>
      <c r="J628" s="10">
        <f>DAY(Sheet1!$A628)</f>
        <v>20</v>
      </c>
      <c r="K628" s="12" t="s">
        <v>2023</v>
      </c>
      <c r="L628" s="13" t="str">
        <f t="shared" si="19"/>
        <v>Regular Customer</v>
      </c>
    </row>
    <row r="629" spans="1:12" ht="15.75" customHeight="1" x14ac:dyDescent="0.3">
      <c r="A629" s="14">
        <v>45775</v>
      </c>
      <c r="B629" s="15" t="s">
        <v>1018</v>
      </c>
      <c r="C629" s="15" t="s">
        <v>13</v>
      </c>
      <c r="D629" s="15" t="s">
        <v>14</v>
      </c>
      <c r="E629" s="16">
        <v>21.55</v>
      </c>
      <c r="F629" s="15" t="s">
        <v>10</v>
      </c>
      <c r="G629" s="15">
        <v>21.55</v>
      </c>
      <c r="H629" s="17">
        <f t="shared" si="18"/>
        <v>4</v>
      </c>
      <c r="I629" s="17">
        <f>YEAR(Sheet1!$A629)</f>
        <v>2025</v>
      </c>
      <c r="J629" s="17">
        <f>DAY(Sheet1!$A629)</f>
        <v>28</v>
      </c>
      <c r="K629" s="18" t="s">
        <v>2022</v>
      </c>
      <c r="L629" s="19" t="str">
        <f t="shared" si="19"/>
        <v>Regular Customer</v>
      </c>
    </row>
    <row r="630" spans="1:12" ht="15.75" customHeight="1" x14ac:dyDescent="0.3">
      <c r="A630" s="7">
        <v>45415</v>
      </c>
      <c r="B630" s="8" t="s">
        <v>808</v>
      </c>
      <c r="C630" s="8" t="s">
        <v>18</v>
      </c>
      <c r="D630" s="8" t="s">
        <v>16</v>
      </c>
      <c r="E630" s="9">
        <v>7.2</v>
      </c>
      <c r="F630" s="8" t="s">
        <v>10</v>
      </c>
      <c r="G630" s="8">
        <v>21.6</v>
      </c>
      <c r="H630" s="10">
        <f t="shared" si="18"/>
        <v>5</v>
      </c>
      <c r="I630" s="10">
        <f>YEAR(Sheet1!$A630)</f>
        <v>2024</v>
      </c>
      <c r="J630" s="10">
        <f>DAY(Sheet1!$A630)</f>
        <v>3</v>
      </c>
      <c r="K630" s="12" t="s">
        <v>2022</v>
      </c>
      <c r="L630" s="13" t="str">
        <f t="shared" si="19"/>
        <v>Regular Customer</v>
      </c>
    </row>
    <row r="631" spans="1:12" ht="15.75" customHeight="1" x14ac:dyDescent="0.3">
      <c r="A631" s="14">
        <v>45632</v>
      </c>
      <c r="B631" s="15" t="s">
        <v>1335</v>
      </c>
      <c r="C631" s="15" t="s">
        <v>18</v>
      </c>
      <c r="D631" s="15" t="s">
        <v>9</v>
      </c>
      <c r="E631" s="16">
        <v>21.62</v>
      </c>
      <c r="F631" s="15" t="s">
        <v>11</v>
      </c>
      <c r="G631" s="15">
        <v>21.62</v>
      </c>
      <c r="H631" s="17">
        <f t="shared" si="18"/>
        <v>12</v>
      </c>
      <c r="I631" s="17">
        <f>YEAR(Sheet1!$A631)</f>
        <v>2024</v>
      </c>
      <c r="J631" s="17">
        <f>DAY(Sheet1!$A631)</f>
        <v>6</v>
      </c>
      <c r="K631" s="18" t="s">
        <v>2022</v>
      </c>
      <c r="L631" s="19" t="str">
        <f t="shared" si="19"/>
        <v>Regular Customer</v>
      </c>
    </row>
    <row r="632" spans="1:12" ht="15.75" customHeight="1" x14ac:dyDescent="0.3">
      <c r="A632" s="7">
        <v>45602</v>
      </c>
      <c r="B632" s="8" t="s">
        <v>1922</v>
      </c>
      <c r="C632" s="8" t="s">
        <v>24</v>
      </c>
      <c r="D632" s="8" t="s">
        <v>16</v>
      </c>
      <c r="E632" s="9">
        <v>7.21</v>
      </c>
      <c r="F632" s="8" t="s">
        <v>10</v>
      </c>
      <c r="G632" s="8">
        <v>21.63</v>
      </c>
      <c r="H632" s="10">
        <f t="shared" si="18"/>
        <v>11</v>
      </c>
      <c r="I632" s="10">
        <f>YEAR(Sheet1!$A632)</f>
        <v>2024</v>
      </c>
      <c r="J632" s="10">
        <f>DAY(Sheet1!$A632)</f>
        <v>6</v>
      </c>
      <c r="K632" s="12" t="s">
        <v>2022</v>
      </c>
      <c r="L632" s="13" t="str">
        <f t="shared" si="19"/>
        <v>Regular Customer</v>
      </c>
    </row>
    <row r="633" spans="1:12" ht="15.75" customHeight="1" x14ac:dyDescent="0.3">
      <c r="A633" s="14">
        <v>45565</v>
      </c>
      <c r="B633" s="15" t="s">
        <v>1798</v>
      </c>
      <c r="C633" s="15" t="s">
        <v>8</v>
      </c>
      <c r="D633" s="15" t="s">
        <v>16</v>
      </c>
      <c r="E633" s="16">
        <v>10.82</v>
      </c>
      <c r="F633" s="15" t="s">
        <v>11</v>
      </c>
      <c r="G633" s="15">
        <v>21.64</v>
      </c>
      <c r="H633" s="17">
        <f t="shared" si="18"/>
        <v>9</v>
      </c>
      <c r="I633" s="17">
        <f>YEAR(Sheet1!$A633)</f>
        <v>2024</v>
      </c>
      <c r="J633" s="17">
        <f>DAY(Sheet1!$A633)</f>
        <v>30</v>
      </c>
      <c r="K633" s="18" t="s">
        <v>2023</v>
      </c>
      <c r="L633" s="19" t="str">
        <f t="shared" si="19"/>
        <v>Regular Customer</v>
      </c>
    </row>
    <row r="634" spans="1:12" ht="15.75" customHeight="1" x14ac:dyDescent="0.3">
      <c r="A634" s="7">
        <v>45534</v>
      </c>
      <c r="B634" s="8" t="s">
        <v>1764</v>
      </c>
      <c r="C634" s="8" t="s">
        <v>13</v>
      </c>
      <c r="D634" s="8" t="s">
        <v>9</v>
      </c>
      <c r="E634" s="9">
        <v>7.22</v>
      </c>
      <c r="F634" s="8" t="s">
        <v>11</v>
      </c>
      <c r="G634" s="8">
        <v>21.66</v>
      </c>
      <c r="H634" s="10">
        <f t="shared" si="18"/>
        <v>8</v>
      </c>
      <c r="I634" s="10">
        <f>YEAR(Sheet1!$A634)</f>
        <v>2024</v>
      </c>
      <c r="J634" s="10">
        <f>DAY(Sheet1!$A634)</f>
        <v>30</v>
      </c>
      <c r="K634" s="12" t="s">
        <v>2022</v>
      </c>
      <c r="L634" s="13" t="str">
        <f t="shared" si="19"/>
        <v>Regular Customer</v>
      </c>
    </row>
    <row r="635" spans="1:12" ht="15.75" customHeight="1" x14ac:dyDescent="0.3">
      <c r="A635" s="14">
        <v>45778</v>
      </c>
      <c r="B635" s="15" t="s">
        <v>500</v>
      </c>
      <c r="C635" s="15" t="s">
        <v>8</v>
      </c>
      <c r="D635" s="15" t="s">
        <v>14</v>
      </c>
      <c r="E635" s="16">
        <v>21.66</v>
      </c>
      <c r="F635" s="15" t="s">
        <v>10</v>
      </c>
      <c r="G635" s="15">
        <v>21.66</v>
      </c>
      <c r="H635" s="17">
        <f t="shared" si="18"/>
        <v>5</v>
      </c>
      <c r="I635" s="17">
        <f>YEAR(Sheet1!$A635)</f>
        <v>2025</v>
      </c>
      <c r="J635" s="17">
        <f>DAY(Sheet1!$A635)</f>
        <v>1</v>
      </c>
      <c r="K635" s="18" t="s">
        <v>2022</v>
      </c>
      <c r="L635" s="19" t="str">
        <f t="shared" si="19"/>
        <v>Regular Customer</v>
      </c>
    </row>
    <row r="636" spans="1:12" ht="15.75" customHeight="1" x14ac:dyDescent="0.3">
      <c r="A636" s="7">
        <v>45537</v>
      </c>
      <c r="B636" s="8" t="s">
        <v>1760</v>
      </c>
      <c r="C636" s="8" t="s">
        <v>18</v>
      </c>
      <c r="D636" s="8" t="s">
        <v>16</v>
      </c>
      <c r="E636" s="9">
        <v>21.67</v>
      </c>
      <c r="F636" s="8" t="s">
        <v>10</v>
      </c>
      <c r="G636" s="8">
        <v>21.67</v>
      </c>
      <c r="H636" s="10">
        <f t="shared" si="18"/>
        <v>9</v>
      </c>
      <c r="I636" s="10">
        <f>YEAR(Sheet1!$A636)</f>
        <v>2024</v>
      </c>
      <c r="J636" s="10">
        <f>DAY(Sheet1!$A636)</f>
        <v>2</v>
      </c>
      <c r="K636" s="12" t="s">
        <v>2023</v>
      </c>
      <c r="L636" s="13" t="str">
        <f t="shared" si="19"/>
        <v>Regular Customer</v>
      </c>
    </row>
    <row r="637" spans="1:12" ht="15.75" customHeight="1" x14ac:dyDescent="0.3">
      <c r="A637" s="14">
        <v>45414</v>
      </c>
      <c r="B637" s="15" t="s">
        <v>763</v>
      </c>
      <c r="C637" s="15" t="s">
        <v>8</v>
      </c>
      <c r="D637" s="15" t="s">
        <v>19</v>
      </c>
      <c r="E637" s="16">
        <v>10.84</v>
      </c>
      <c r="F637" s="15" t="s">
        <v>11</v>
      </c>
      <c r="G637" s="15">
        <v>21.68</v>
      </c>
      <c r="H637" s="17">
        <f t="shared" si="18"/>
        <v>5</v>
      </c>
      <c r="I637" s="17">
        <f>YEAR(Sheet1!$A637)</f>
        <v>2024</v>
      </c>
      <c r="J637" s="17">
        <f>DAY(Sheet1!$A637)</f>
        <v>2</v>
      </c>
      <c r="K637" s="18" t="s">
        <v>2022</v>
      </c>
      <c r="L637" s="19" t="str">
        <f t="shared" si="19"/>
        <v>Regular Customer</v>
      </c>
    </row>
    <row r="638" spans="1:12" ht="15.75" customHeight="1" x14ac:dyDescent="0.3">
      <c r="A638" s="7">
        <v>45564</v>
      </c>
      <c r="B638" s="8" t="s">
        <v>2013</v>
      </c>
      <c r="C638" s="8" t="s">
        <v>13</v>
      </c>
      <c r="D638" s="8" t="s">
        <v>14</v>
      </c>
      <c r="E638" s="9">
        <v>10.84</v>
      </c>
      <c r="F638" s="8" t="s">
        <v>10</v>
      </c>
      <c r="G638" s="8">
        <v>21.68</v>
      </c>
      <c r="H638" s="10">
        <f t="shared" si="18"/>
        <v>9</v>
      </c>
      <c r="I638" s="10">
        <f>YEAR(Sheet1!$A638)</f>
        <v>2024</v>
      </c>
      <c r="J638" s="10">
        <f>DAY(Sheet1!$A638)</f>
        <v>29</v>
      </c>
      <c r="K638" s="12" t="s">
        <v>2022</v>
      </c>
      <c r="L638" s="13" t="str">
        <f t="shared" si="19"/>
        <v>Regular Customer</v>
      </c>
    </row>
    <row r="639" spans="1:12" ht="15.75" customHeight="1" x14ac:dyDescent="0.3">
      <c r="A639" s="14">
        <v>45612</v>
      </c>
      <c r="B639" s="15" t="s">
        <v>277</v>
      </c>
      <c r="C639" s="15" t="s">
        <v>24</v>
      </c>
      <c r="D639" s="15" t="s">
        <v>16</v>
      </c>
      <c r="E639" s="16">
        <v>7.24</v>
      </c>
      <c r="F639" s="15" t="s">
        <v>11</v>
      </c>
      <c r="G639" s="15">
        <v>21.72</v>
      </c>
      <c r="H639" s="17">
        <f t="shared" si="18"/>
        <v>11</v>
      </c>
      <c r="I639" s="17">
        <f>YEAR(Sheet1!$A639)</f>
        <v>2024</v>
      </c>
      <c r="J639" s="17">
        <f>DAY(Sheet1!$A639)</f>
        <v>16</v>
      </c>
      <c r="K639" s="18" t="s">
        <v>2022</v>
      </c>
      <c r="L639" s="19" t="str">
        <f t="shared" si="19"/>
        <v>Regular Customer</v>
      </c>
    </row>
    <row r="640" spans="1:12" ht="15.75" customHeight="1" x14ac:dyDescent="0.3">
      <c r="A640" s="7">
        <v>45733</v>
      </c>
      <c r="B640" s="8" t="s">
        <v>1719</v>
      </c>
      <c r="C640" s="8" t="s">
        <v>18</v>
      </c>
      <c r="D640" s="8" t="s">
        <v>14</v>
      </c>
      <c r="E640" s="9">
        <v>7.24</v>
      </c>
      <c r="F640" s="8" t="s">
        <v>10</v>
      </c>
      <c r="G640" s="8">
        <v>21.72</v>
      </c>
      <c r="H640" s="10">
        <f t="shared" si="18"/>
        <v>3</v>
      </c>
      <c r="I640" s="10">
        <f>YEAR(Sheet1!$A640)</f>
        <v>2025</v>
      </c>
      <c r="J640" s="10">
        <f>DAY(Sheet1!$A640)</f>
        <v>17</v>
      </c>
      <c r="K640" s="12" t="s">
        <v>2022</v>
      </c>
      <c r="L640" s="13" t="str">
        <f t="shared" si="19"/>
        <v>Regular Customer</v>
      </c>
    </row>
    <row r="641" spans="1:12" ht="15.75" customHeight="1" x14ac:dyDescent="0.3">
      <c r="A641" s="14">
        <v>45677</v>
      </c>
      <c r="B641" s="15" t="s">
        <v>173</v>
      </c>
      <c r="C641" s="15" t="s">
        <v>13</v>
      </c>
      <c r="D641" s="15" t="s">
        <v>16</v>
      </c>
      <c r="E641" s="16">
        <v>21.78</v>
      </c>
      <c r="F641" s="15" t="s">
        <v>11</v>
      </c>
      <c r="G641" s="15">
        <v>21.78</v>
      </c>
      <c r="H641" s="17">
        <f t="shared" si="18"/>
        <v>1</v>
      </c>
      <c r="I641" s="17">
        <f>YEAR(Sheet1!$A641)</f>
        <v>2025</v>
      </c>
      <c r="J641" s="17">
        <f>DAY(Sheet1!$A641)</f>
        <v>20</v>
      </c>
      <c r="K641" s="18" t="s">
        <v>2022</v>
      </c>
      <c r="L641" s="19" t="str">
        <f t="shared" si="19"/>
        <v>Regular Customer</v>
      </c>
    </row>
    <row r="642" spans="1:12" ht="15.75" customHeight="1" x14ac:dyDescent="0.3">
      <c r="A642" s="7">
        <v>45663</v>
      </c>
      <c r="B642" s="8" t="s">
        <v>980</v>
      </c>
      <c r="C642" s="8" t="s">
        <v>18</v>
      </c>
      <c r="D642" s="8" t="s">
        <v>19</v>
      </c>
      <c r="E642" s="9">
        <v>10.9</v>
      </c>
      <c r="F642" s="8" t="s">
        <v>10</v>
      </c>
      <c r="G642" s="8">
        <v>21.8</v>
      </c>
      <c r="H642" s="10">
        <f t="shared" ref="H642:H705" si="20">MONTH(A642)</f>
        <v>1</v>
      </c>
      <c r="I642" s="10">
        <f>YEAR(Sheet1!$A642)</f>
        <v>2025</v>
      </c>
      <c r="J642" s="10">
        <f>DAY(Sheet1!$A642)</f>
        <v>6</v>
      </c>
      <c r="K642" s="12" t="s">
        <v>2022</v>
      </c>
      <c r="L642" s="13" t="str">
        <f t="shared" ref="L642:L705" si="21">IF(G642&gt;50,"Premium Customer","Regular Customer")</f>
        <v>Regular Customer</v>
      </c>
    </row>
    <row r="643" spans="1:12" ht="15.75" customHeight="1" x14ac:dyDescent="0.3">
      <c r="A643" s="14">
        <v>45533</v>
      </c>
      <c r="B643" s="15" t="s">
        <v>322</v>
      </c>
      <c r="C643" s="15" t="s">
        <v>13</v>
      </c>
      <c r="D643" s="15" t="s">
        <v>9</v>
      </c>
      <c r="E643" s="16">
        <v>7.27</v>
      </c>
      <c r="F643" s="15" t="s">
        <v>11</v>
      </c>
      <c r="G643" s="15">
        <v>21.81</v>
      </c>
      <c r="H643" s="17">
        <f t="shared" si="20"/>
        <v>8</v>
      </c>
      <c r="I643" s="17">
        <f>YEAR(Sheet1!$A643)</f>
        <v>2024</v>
      </c>
      <c r="J643" s="17">
        <f>DAY(Sheet1!$A643)</f>
        <v>29</v>
      </c>
      <c r="K643" s="18" t="s">
        <v>2023</v>
      </c>
      <c r="L643" s="19" t="str">
        <f t="shared" si="21"/>
        <v>Regular Customer</v>
      </c>
    </row>
    <row r="644" spans="1:12" ht="15.75" customHeight="1" x14ac:dyDescent="0.3">
      <c r="A644" s="7">
        <v>45752</v>
      </c>
      <c r="B644" s="8" t="s">
        <v>273</v>
      </c>
      <c r="C644" s="8" t="s">
        <v>8</v>
      </c>
      <c r="D644" s="8" t="s">
        <v>16</v>
      </c>
      <c r="E644" s="9">
        <v>21.81</v>
      </c>
      <c r="F644" s="8" t="s">
        <v>11</v>
      </c>
      <c r="G644" s="8">
        <v>21.81</v>
      </c>
      <c r="H644" s="10">
        <f t="shared" si="20"/>
        <v>4</v>
      </c>
      <c r="I644" s="10">
        <f>YEAR(Sheet1!$A644)</f>
        <v>2025</v>
      </c>
      <c r="J644" s="10">
        <f>DAY(Sheet1!$A644)</f>
        <v>5</v>
      </c>
      <c r="K644" s="12" t="s">
        <v>2022</v>
      </c>
      <c r="L644" s="13" t="str">
        <f t="shared" si="21"/>
        <v>Regular Customer</v>
      </c>
    </row>
    <row r="645" spans="1:12" ht="15.75" customHeight="1" x14ac:dyDescent="0.3">
      <c r="A645" s="14">
        <v>45725</v>
      </c>
      <c r="B645" s="15" t="s">
        <v>75</v>
      </c>
      <c r="C645" s="15" t="s">
        <v>24</v>
      </c>
      <c r="D645" s="15" t="s">
        <v>9</v>
      </c>
      <c r="E645" s="16">
        <v>10.91</v>
      </c>
      <c r="F645" s="15" t="s">
        <v>11</v>
      </c>
      <c r="G645" s="15">
        <v>21.82</v>
      </c>
      <c r="H645" s="17">
        <f t="shared" si="20"/>
        <v>3</v>
      </c>
      <c r="I645" s="17">
        <f>YEAR(Sheet1!$A645)</f>
        <v>2025</v>
      </c>
      <c r="J645" s="17">
        <f>DAY(Sheet1!$A645)</f>
        <v>9</v>
      </c>
      <c r="K645" s="18" t="s">
        <v>2022</v>
      </c>
      <c r="L645" s="19" t="str">
        <f t="shared" si="21"/>
        <v>Regular Customer</v>
      </c>
    </row>
    <row r="646" spans="1:12" ht="15.75" customHeight="1" x14ac:dyDescent="0.3">
      <c r="A646" s="7">
        <v>45419</v>
      </c>
      <c r="B646" s="8" t="s">
        <v>1025</v>
      </c>
      <c r="C646" s="8" t="s">
        <v>18</v>
      </c>
      <c r="D646" s="8" t="s">
        <v>19</v>
      </c>
      <c r="E646" s="9">
        <v>21.83</v>
      </c>
      <c r="F646" s="8" t="s">
        <v>11</v>
      </c>
      <c r="G646" s="8">
        <v>21.83</v>
      </c>
      <c r="H646" s="10">
        <f t="shared" si="20"/>
        <v>5</v>
      </c>
      <c r="I646" s="10">
        <f>YEAR(Sheet1!$A646)</f>
        <v>2024</v>
      </c>
      <c r="J646" s="10">
        <f>DAY(Sheet1!$A646)</f>
        <v>7</v>
      </c>
      <c r="K646" s="12" t="s">
        <v>2023</v>
      </c>
      <c r="L646" s="13" t="str">
        <f t="shared" si="21"/>
        <v>Regular Customer</v>
      </c>
    </row>
    <row r="647" spans="1:12" ht="15.75" customHeight="1" x14ac:dyDescent="0.3">
      <c r="A647" s="14">
        <v>45512</v>
      </c>
      <c r="B647" s="15" t="s">
        <v>1194</v>
      </c>
      <c r="C647" s="15" t="s">
        <v>13</v>
      </c>
      <c r="D647" s="15" t="s">
        <v>9</v>
      </c>
      <c r="E647" s="16">
        <v>10.94</v>
      </c>
      <c r="F647" s="15" t="s">
        <v>11</v>
      </c>
      <c r="G647" s="15">
        <v>21.88</v>
      </c>
      <c r="H647" s="17">
        <f t="shared" si="20"/>
        <v>8</v>
      </c>
      <c r="I647" s="17">
        <f>YEAR(Sheet1!$A647)</f>
        <v>2024</v>
      </c>
      <c r="J647" s="17">
        <f>DAY(Sheet1!$A647)</f>
        <v>8</v>
      </c>
      <c r="K647" s="18" t="s">
        <v>2023</v>
      </c>
      <c r="L647" s="19" t="str">
        <f t="shared" si="21"/>
        <v>Regular Customer</v>
      </c>
    </row>
    <row r="648" spans="1:12" ht="15.75" customHeight="1" x14ac:dyDescent="0.3">
      <c r="A648" s="7">
        <v>45716</v>
      </c>
      <c r="B648" s="8" t="s">
        <v>1941</v>
      </c>
      <c r="C648" s="8" t="s">
        <v>8</v>
      </c>
      <c r="D648" s="8" t="s">
        <v>19</v>
      </c>
      <c r="E648" s="9">
        <v>21.98</v>
      </c>
      <c r="F648" s="8" t="s">
        <v>10</v>
      </c>
      <c r="G648" s="8">
        <v>21.98</v>
      </c>
      <c r="H648" s="10">
        <f t="shared" si="20"/>
        <v>2</v>
      </c>
      <c r="I648" s="10">
        <f>YEAR(Sheet1!$A648)</f>
        <v>2025</v>
      </c>
      <c r="J648" s="10">
        <f>DAY(Sheet1!$A648)</f>
        <v>28</v>
      </c>
      <c r="K648" s="12" t="s">
        <v>2023</v>
      </c>
      <c r="L648" s="13" t="str">
        <f t="shared" si="21"/>
        <v>Regular Customer</v>
      </c>
    </row>
    <row r="649" spans="1:12" ht="15.75" customHeight="1" x14ac:dyDescent="0.3">
      <c r="A649" s="14">
        <v>45544</v>
      </c>
      <c r="B649" s="15" t="s">
        <v>1838</v>
      </c>
      <c r="C649" s="15" t="s">
        <v>18</v>
      </c>
      <c r="D649" s="15" t="s">
        <v>14</v>
      </c>
      <c r="E649" s="16">
        <v>21.99</v>
      </c>
      <c r="F649" s="15" t="s">
        <v>10</v>
      </c>
      <c r="G649" s="15">
        <v>21.99</v>
      </c>
      <c r="H649" s="17">
        <f t="shared" si="20"/>
        <v>9</v>
      </c>
      <c r="I649" s="17">
        <f>YEAR(Sheet1!$A649)</f>
        <v>2024</v>
      </c>
      <c r="J649" s="17">
        <f>DAY(Sheet1!$A649)</f>
        <v>9</v>
      </c>
      <c r="K649" s="18" t="s">
        <v>2023</v>
      </c>
      <c r="L649" s="19" t="str">
        <f t="shared" si="21"/>
        <v>Regular Customer</v>
      </c>
    </row>
    <row r="650" spans="1:12" ht="15.75" customHeight="1" x14ac:dyDescent="0.3">
      <c r="A650" s="7">
        <v>45776</v>
      </c>
      <c r="B650" s="8" t="s">
        <v>568</v>
      </c>
      <c r="C650" s="8" t="s">
        <v>24</v>
      </c>
      <c r="D650" s="8" t="s">
        <v>16</v>
      </c>
      <c r="E650" s="9">
        <v>22.01</v>
      </c>
      <c r="F650" s="8" t="s">
        <v>11</v>
      </c>
      <c r="G650" s="8">
        <v>22.01</v>
      </c>
      <c r="H650" s="10">
        <f t="shared" si="20"/>
        <v>4</v>
      </c>
      <c r="I650" s="10">
        <f>YEAR(Sheet1!$A650)</f>
        <v>2025</v>
      </c>
      <c r="J650" s="10">
        <f>DAY(Sheet1!$A650)</f>
        <v>29</v>
      </c>
      <c r="K650" s="12" t="s">
        <v>2023</v>
      </c>
      <c r="L650" s="13" t="str">
        <f t="shared" si="21"/>
        <v>Regular Customer</v>
      </c>
    </row>
    <row r="651" spans="1:12" ht="15.75" customHeight="1" x14ac:dyDescent="0.3">
      <c r="A651" s="14">
        <v>45769</v>
      </c>
      <c r="B651" s="15" t="s">
        <v>1965</v>
      </c>
      <c r="C651" s="15" t="s">
        <v>8</v>
      </c>
      <c r="D651" s="15" t="s">
        <v>16</v>
      </c>
      <c r="E651" s="16">
        <v>22.06</v>
      </c>
      <c r="F651" s="15" t="s">
        <v>10</v>
      </c>
      <c r="G651" s="15">
        <v>22.06</v>
      </c>
      <c r="H651" s="17">
        <f t="shared" si="20"/>
        <v>4</v>
      </c>
      <c r="I651" s="17">
        <f>YEAR(Sheet1!$A651)</f>
        <v>2025</v>
      </c>
      <c r="J651" s="17">
        <f>DAY(Sheet1!$A651)</f>
        <v>22</v>
      </c>
      <c r="K651" s="18" t="s">
        <v>2022</v>
      </c>
      <c r="L651" s="19" t="str">
        <f t="shared" si="21"/>
        <v>Regular Customer</v>
      </c>
    </row>
    <row r="652" spans="1:12" ht="15.75" customHeight="1" x14ac:dyDescent="0.3">
      <c r="A652" s="7">
        <v>45759</v>
      </c>
      <c r="B652" s="8" t="s">
        <v>333</v>
      </c>
      <c r="C652" s="8" t="s">
        <v>13</v>
      </c>
      <c r="D652" s="8" t="s">
        <v>19</v>
      </c>
      <c r="E652" s="9">
        <v>22.07</v>
      </c>
      <c r="F652" s="8" t="s">
        <v>10</v>
      </c>
      <c r="G652" s="8">
        <v>22.07</v>
      </c>
      <c r="H652" s="10">
        <f t="shared" si="20"/>
        <v>4</v>
      </c>
      <c r="I652" s="10">
        <f>YEAR(Sheet1!$A652)</f>
        <v>2025</v>
      </c>
      <c r="J652" s="10">
        <f>DAY(Sheet1!$A652)</f>
        <v>12</v>
      </c>
      <c r="K652" s="12" t="s">
        <v>2022</v>
      </c>
      <c r="L652" s="13" t="str">
        <f t="shared" si="21"/>
        <v>Regular Customer</v>
      </c>
    </row>
    <row r="653" spans="1:12" ht="15.75" customHeight="1" x14ac:dyDescent="0.3">
      <c r="A653" s="14">
        <v>45639</v>
      </c>
      <c r="B653" s="15" t="s">
        <v>1402</v>
      </c>
      <c r="C653" s="15" t="s">
        <v>24</v>
      </c>
      <c r="D653" s="15" t="s">
        <v>9</v>
      </c>
      <c r="E653" s="16">
        <v>7.37</v>
      </c>
      <c r="F653" s="15" t="s">
        <v>11</v>
      </c>
      <c r="G653" s="15">
        <v>22.11</v>
      </c>
      <c r="H653" s="17">
        <f t="shared" si="20"/>
        <v>12</v>
      </c>
      <c r="I653" s="17">
        <f>YEAR(Sheet1!$A653)</f>
        <v>2024</v>
      </c>
      <c r="J653" s="17">
        <f>DAY(Sheet1!$A653)</f>
        <v>13</v>
      </c>
      <c r="K653" s="18" t="s">
        <v>2023</v>
      </c>
      <c r="L653" s="19" t="str">
        <f t="shared" si="21"/>
        <v>Regular Customer</v>
      </c>
    </row>
    <row r="654" spans="1:12" ht="15.75" customHeight="1" x14ac:dyDescent="0.3">
      <c r="A654" s="7">
        <v>45436</v>
      </c>
      <c r="B654" s="8" t="s">
        <v>1638</v>
      </c>
      <c r="C654" s="8" t="s">
        <v>8</v>
      </c>
      <c r="D654" s="8" t="s">
        <v>19</v>
      </c>
      <c r="E654" s="9">
        <v>11.07</v>
      </c>
      <c r="F654" s="8" t="s">
        <v>10</v>
      </c>
      <c r="G654" s="8">
        <v>22.14</v>
      </c>
      <c r="H654" s="10">
        <f t="shared" si="20"/>
        <v>5</v>
      </c>
      <c r="I654" s="10">
        <f>YEAR(Sheet1!$A654)</f>
        <v>2024</v>
      </c>
      <c r="J654" s="10">
        <f>DAY(Sheet1!$A654)</f>
        <v>24</v>
      </c>
      <c r="K654" s="12" t="s">
        <v>2023</v>
      </c>
      <c r="L654" s="13" t="str">
        <f t="shared" si="21"/>
        <v>Regular Customer</v>
      </c>
    </row>
    <row r="655" spans="1:12" ht="15.75" customHeight="1" x14ac:dyDescent="0.3">
      <c r="A655" s="14">
        <v>45644</v>
      </c>
      <c r="B655" s="15" t="s">
        <v>645</v>
      </c>
      <c r="C655" s="15" t="s">
        <v>18</v>
      </c>
      <c r="D655" s="15" t="s">
        <v>9</v>
      </c>
      <c r="E655" s="16">
        <v>11.07</v>
      </c>
      <c r="F655" s="15" t="s">
        <v>10</v>
      </c>
      <c r="G655" s="15">
        <v>22.14</v>
      </c>
      <c r="H655" s="17">
        <f t="shared" si="20"/>
        <v>12</v>
      </c>
      <c r="I655" s="17">
        <f>YEAR(Sheet1!$A655)</f>
        <v>2024</v>
      </c>
      <c r="J655" s="17">
        <f>DAY(Sheet1!$A655)</f>
        <v>18</v>
      </c>
      <c r="K655" s="18" t="s">
        <v>2023</v>
      </c>
      <c r="L655" s="19" t="str">
        <f t="shared" si="21"/>
        <v>Regular Customer</v>
      </c>
    </row>
    <row r="656" spans="1:12" ht="15.75" customHeight="1" x14ac:dyDescent="0.3">
      <c r="A656" s="7">
        <v>45518</v>
      </c>
      <c r="B656" s="8" t="s">
        <v>1862</v>
      </c>
      <c r="C656" s="8" t="s">
        <v>8</v>
      </c>
      <c r="D656" s="8" t="s">
        <v>9</v>
      </c>
      <c r="E656" s="9">
        <v>22.15</v>
      </c>
      <c r="F656" s="8" t="s">
        <v>11</v>
      </c>
      <c r="G656" s="8">
        <v>22.15</v>
      </c>
      <c r="H656" s="10">
        <f t="shared" si="20"/>
        <v>8</v>
      </c>
      <c r="I656" s="10">
        <f>YEAR(Sheet1!$A656)</f>
        <v>2024</v>
      </c>
      <c r="J656" s="10">
        <f>DAY(Sheet1!$A656)</f>
        <v>14</v>
      </c>
      <c r="K656" s="12" t="s">
        <v>2023</v>
      </c>
      <c r="L656" s="13" t="str">
        <f t="shared" si="21"/>
        <v>Regular Customer</v>
      </c>
    </row>
    <row r="657" spans="1:12" ht="15.75" customHeight="1" x14ac:dyDescent="0.3">
      <c r="A657" s="14">
        <v>45648</v>
      </c>
      <c r="B657" s="15" t="s">
        <v>990</v>
      </c>
      <c r="C657" s="15" t="s">
        <v>13</v>
      </c>
      <c r="D657" s="15" t="s">
        <v>19</v>
      </c>
      <c r="E657" s="16">
        <v>11.08</v>
      </c>
      <c r="F657" s="15" t="s">
        <v>11</v>
      </c>
      <c r="G657" s="15">
        <v>22.16</v>
      </c>
      <c r="H657" s="17">
        <f t="shared" si="20"/>
        <v>12</v>
      </c>
      <c r="I657" s="17">
        <f>YEAR(Sheet1!$A657)</f>
        <v>2024</v>
      </c>
      <c r="J657" s="17">
        <f>DAY(Sheet1!$A657)</f>
        <v>22</v>
      </c>
      <c r="K657" s="18" t="s">
        <v>2022</v>
      </c>
      <c r="L657" s="19" t="str">
        <f t="shared" si="21"/>
        <v>Regular Customer</v>
      </c>
    </row>
    <row r="658" spans="1:12" ht="15.75" customHeight="1" x14ac:dyDescent="0.3">
      <c r="A658" s="7">
        <v>45735</v>
      </c>
      <c r="B658" s="8" t="s">
        <v>1768</v>
      </c>
      <c r="C658" s="8" t="s">
        <v>24</v>
      </c>
      <c r="D658" s="8" t="s">
        <v>14</v>
      </c>
      <c r="E658" s="9">
        <v>22.17</v>
      </c>
      <c r="F658" s="8" t="s">
        <v>10</v>
      </c>
      <c r="G658" s="8">
        <v>22.17</v>
      </c>
      <c r="H658" s="10">
        <f t="shared" si="20"/>
        <v>3</v>
      </c>
      <c r="I658" s="10">
        <f>YEAR(Sheet1!$A658)</f>
        <v>2025</v>
      </c>
      <c r="J658" s="10">
        <f>DAY(Sheet1!$A658)</f>
        <v>19</v>
      </c>
      <c r="K658" s="12" t="s">
        <v>2022</v>
      </c>
      <c r="L658" s="13" t="str">
        <f t="shared" si="21"/>
        <v>Regular Customer</v>
      </c>
    </row>
    <row r="659" spans="1:12" ht="15.75" customHeight="1" x14ac:dyDescent="0.3">
      <c r="A659" s="14">
        <v>45491</v>
      </c>
      <c r="B659" s="15" t="s">
        <v>381</v>
      </c>
      <c r="C659" s="15" t="s">
        <v>24</v>
      </c>
      <c r="D659" s="15" t="s">
        <v>16</v>
      </c>
      <c r="E659" s="16">
        <v>22.2</v>
      </c>
      <c r="F659" s="15" t="s">
        <v>11</v>
      </c>
      <c r="G659" s="15">
        <v>22.2</v>
      </c>
      <c r="H659" s="17">
        <f t="shared" si="20"/>
        <v>7</v>
      </c>
      <c r="I659" s="17">
        <f>YEAR(Sheet1!$A659)</f>
        <v>2024</v>
      </c>
      <c r="J659" s="17">
        <f>DAY(Sheet1!$A659)</f>
        <v>18</v>
      </c>
      <c r="K659" s="18" t="s">
        <v>2022</v>
      </c>
      <c r="L659" s="19" t="str">
        <f t="shared" si="21"/>
        <v>Regular Customer</v>
      </c>
    </row>
    <row r="660" spans="1:12" ht="15.75" customHeight="1" x14ac:dyDescent="0.3">
      <c r="A660" s="7">
        <v>45665</v>
      </c>
      <c r="B660" s="8" t="s">
        <v>1364</v>
      </c>
      <c r="C660" s="8" t="s">
        <v>13</v>
      </c>
      <c r="D660" s="8" t="s">
        <v>9</v>
      </c>
      <c r="E660" s="9">
        <v>22.21</v>
      </c>
      <c r="F660" s="8" t="s">
        <v>10</v>
      </c>
      <c r="G660" s="8">
        <v>22.21</v>
      </c>
      <c r="H660" s="10">
        <f t="shared" si="20"/>
        <v>1</v>
      </c>
      <c r="I660" s="10">
        <f>YEAR(Sheet1!$A660)</f>
        <v>2025</v>
      </c>
      <c r="J660" s="10">
        <f>DAY(Sheet1!$A660)</f>
        <v>8</v>
      </c>
      <c r="K660" s="12" t="s">
        <v>2023</v>
      </c>
      <c r="L660" s="13" t="str">
        <f t="shared" si="21"/>
        <v>Regular Customer</v>
      </c>
    </row>
    <row r="661" spans="1:12" ht="15.75" customHeight="1" x14ac:dyDescent="0.3">
      <c r="A661" s="14">
        <v>45619</v>
      </c>
      <c r="B661" s="15" t="s">
        <v>1882</v>
      </c>
      <c r="C661" s="15" t="s">
        <v>24</v>
      </c>
      <c r="D661" s="15" t="s">
        <v>9</v>
      </c>
      <c r="E661" s="16">
        <v>11.11</v>
      </c>
      <c r="F661" s="15" t="s">
        <v>10</v>
      </c>
      <c r="G661" s="15">
        <v>22.22</v>
      </c>
      <c r="H661" s="17">
        <f t="shared" si="20"/>
        <v>11</v>
      </c>
      <c r="I661" s="17">
        <f>YEAR(Sheet1!$A661)</f>
        <v>2024</v>
      </c>
      <c r="J661" s="17">
        <f>DAY(Sheet1!$A661)</f>
        <v>23</v>
      </c>
      <c r="K661" s="18" t="s">
        <v>2023</v>
      </c>
      <c r="L661" s="19" t="str">
        <f t="shared" si="21"/>
        <v>Regular Customer</v>
      </c>
    </row>
    <row r="662" spans="1:12" ht="15.75" customHeight="1" x14ac:dyDescent="0.3">
      <c r="A662" s="7">
        <v>45675</v>
      </c>
      <c r="B662" s="8" t="s">
        <v>515</v>
      </c>
      <c r="C662" s="8" t="s">
        <v>24</v>
      </c>
      <c r="D662" s="8" t="s">
        <v>14</v>
      </c>
      <c r="E662" s="9">
        <v>22.23</v>
      </c>
      <c r="F662" s="8" t="s">
        <v>11</v>
      </c>
      <c r="G662" s="8">
        <v>22.23</v>
      </c>
      <c r="H662" s="10">
        <f t="shared" si="20"/>
        <v>1</v>
      </c>
      <c r="I662" s="10">
        <f>YEAR(Sheet1!$A662)</f>
        <v>2025</v>
      </c>
      <c r="J662" s="10">
        <f>DAY(Sheet1!$A662)</f>
        <v>18</v>
      </c>
      <c r="K662" s="12" t="s">
        <v>2022</v>
      </c>
      <c r="L662" s="13" t="str">
        <f t="shared" si="21"/>
        <v>Regular Customer</v>
      </c>
    </row>
    <row r="663" spans="1:12" ht="15.75" customHeight="1" x14ac:dyDescent="0.3">
      <c r="A663" s="14">
        <v>45464</v>
      </c>
      <c r="B663" s="15" t="s">
        <v>1938</v>
      </c>
      <c r="C663" s="15" t="s">
        <v>24</v>
      </c>
      <c r="D663" s="15" t="s">
        <v>14</v>
      </c>
      <c r="E663" s="16">
        <v>11.15</v>
      </c>
      <c r="F663" s="15" t="s">
        <v>11</v>
      </c>
      <c r="G663" s="15">
        <v>22.3</v>
      </c>
      <c r="H663" s="17">
        <f t="shared" si="20"/>
        <v>6</v>
      </c>
      <c r="I663" s="17">
        <f>YEAR(Sheet1!$A663)</f>
        <v>2024</v>
      </c>
      <c r="J663" s="17">
        <f>DAY(Sheet1!$A663)</f>
        <v>21</v>
      </c>
      <c r="K663" s="18" t="s">
        <v>2023</v>
      </c>
      <c r="L663" s="19" t="str">
        <f t="shared" si="21"/>
        <v>Regular Customer</v>
      </c>
    </row>
    <row r="664" spans="1:12" ht="15.75" customHeight="1" x14ac:dyDescent="0.3">
      <c r="A664" s="7">
        <v>45462</v>
      </c>
      <c r="B664" s="8" t="s">
        <v>506</v>
      </c>
      <c r="C664" s="8" t="s">
        <v>13</v>
      </c>
      <c r="D664" s="8" t="s">
        <v>16</v>
      </c>
      <c r="E664" s="9">
        <v>7.44</v>
      </c>
      <c r="F664" s="8" t="s">
        <v>11</v>
      </c>
      <c r="G664" s="8">
        <v>22.32</v>
      </c>
      <c r="H664" s="10">
        <f t="shared" si="20"/>
        <v>6</v>
      </c>
      <c r="I664" s="10">
        <f>YEAR(Sheet1!$A664)</f>
        <v>2024</v>
      </c>
      <c r="J664" s="10">
        <f>DAY(Sheet1!$A664)</f>
        <v>19</v>
      </c>
      <c r="K664" s="12" t="s">
        <v>2022</v>
      </c>
      <c r="L664" s="13" t="str">
        <f t="shared" si="21"/>
        <v>Regular Customer</v>
      </c>
    </row>
    <row r="665" spans="1:12" ht="15.75" customHeight="1" x14ac:dyDescent="0.3">
      <c r="A665" s="14">
        <v>45771</v>
      </c>
      <c r="B665" s="15" t="s">
        <v>475</v>
      </c>
      <c r="C665" s="15" t="s">
        <v>8</v>
      </c>
      <c r="D665" s="15" t="s">
        <v>19</v>
      </c>
      <c r="E665" s="16">
        <v>22.33</v>
      </c>
      <c r="F665" s="15" t="s">
        <v>10</v>
      </c>
      <c r="G665" s="15">
        <v>22.33</v>
      </c>
      <c r="H665" s="17">
        <f t="shared" si="20"/>
        <v>4</v>
      </c>
      <c r="I665" s="17">
        <f>YEAR(Sheet1!$A665)</f>
        <v>2025</v>
      </c>
      <c r="J665" s="17">
        <f>DAY(Sheet1!$A665)</f>
        <v>24</v>
      </c>
      <c r="K665" s="18" t="s">
        <v>2023</v>
      </c>
      <c r="L665" s="19" t="str">
        <f t="shared" si="21"/>
        <v>Regular Customer</v>
      </c>
    </row>
    <row r="666" spans="1:12" ht="15.75" customHeight="1" x14ac:dyDescent="0.3">
      <c r="A666" s="7">
        <v>45653</v>
      </c>
      <c r="B666" s="8" t="s">
        <v>111</v>
      </c>
      <c r="C666" s="8" t="s">
        <v>18</v>
      </c>
      <c r="D666" s="8" t="s">
        <v>14</v>
      </c>
      <c r="E666" s="9">
        <v>11.17</v>
      </c>
      <c r="F666" s="8" t="s">
        <v>10</v>
      </c>
      <c r="G666" s="8">
        <v>22.34</v>
      </c>
      <c r="H666" s="10">
        <f t="shared" si="20"/>
        <v>12</v>
      </c>
      <c r="I666" s="10">
        <f>YEAR(Sheet1!$A666)</f>
        <v>2024</v>
      </c>
      <c r="J666" s="10">
        <f>DAY(Sheet1!$A666)</f>
        <v>27</v>
      </c>
      <c r="K666" s="12" t="s">
        <v>2022</v>
      </c>
      <c r="L666" s="13" t="str">
        <f t="shared" si="21"/>
        <v>Regular Customer</v>
      </c>
    </row>
    <row r="667" spans="1:12" ht="15.75" customHeight="1" x14ac:dyDescent="0.3">
      <c r="A667" s="14">
        <v>45717</v>
      </c>
      <c r="B667" s="15" t="s">
        <v>1086</v>
      </c>
      <c r="C667" s="15" t="s">
        <v>18</v>
      </c>
      <c r="D667" s="15" t="s">
        <v>14</v>
      </c>
      <c r="E667" s="16">
        <v>11.17</v>
      </c>
      <c r="F667" s="15" t="s">
        <v>10</v>
      </c>
      <c r="G667" s="15">
        <v>22.34</v>
      </c>
      <c r="H667" s="17">
        <f t="shared" si="20"/>
        <v>3</v>
      </c>
      <c r="I667" s="17">
        <f>YEAR(Sheet1!$A667)</f>
        <v>2025</v>
      </c>
      <c r="J667" s="17">
        <f>DAY(Sheet1!$A667)</f>
        <v>1</v>
      </c>
      <c r="K667" s="18" t="s">
        <v>2022</v>
      </c>
      <c r="L667" s="19" t="str">
        <f t="shared" si="21"/>
        <v>Regular Customer</v>
      </c>
    </row>
    <row r="668" spans="1:12" ht="15.75" customHeight="1" x14ac:dyDescent="0.3">
      <c r="A668" s="7">
        <v>45604</v>
      </c>
      <c r="B668" s="8" t="s">
        <v>314</v>
      </c>
      <c r="C668" s="8" t="s">
        <v>18</v>
      </c>
      <c r="D668" s="8" t="s">
        <v>14</v>
      </c>
      <c r="E668" s="9">
        <v>22.37</v>
      </c>
      <c r="F668" s="8" t="s">
        <v>11</v>
      </c>
      <c r="G668" s="8">
        <v>22.37</v>
      </c>
      <c r="H668" s="10">
        <f t="shared" si="20"/>
        <v>11</v>
      </c>
      <c r="I668" s="10">
        <f>YEAR(Sheet1!$A668)</f>
        <v>2024</v>
      </c>
      <c r="J668" s="10">
        <f>DAY(Sheet1!$A668)</f>
        <v>8</v>
      </c>
      <c r="K668" s="12" t="s">
        <v>2023</v>
      </c>
      <c r="L668" s="13" t="str">
        <f t="shared" si="21"/>
        <v>Regular Customer</v>
      </c>
    </row>
    <row r="669" spans="1:12" ht="15.75" customHeight="1" x14ac:dyDescent="0.3">
      <c r="A669" s="14">
        <v>45641</v>
      </c>
      <c r="B669" s="15" t="s">
        <v>807</v>
      </c>
      <c r="C669" s="15" t="s">
        <v>18</v>
      </c>
      <c r="D669" s="15" t="s">
        <v>9</v>
      </c>
      <c r="E669" s="16">
        <v>22.38</v>
      </c>
      <c r="F669" s="15" t="s">
        <v>11</v>
      </c>
      <c r="G669" s="15">
        <v>22.38</v>
      </c>
      <c r="H669" s="17">
        <f t="shared" si="20"/>
        <v>12</v>
      </c>
      <c r="I669" s="17">
        <f>YEAR(Sheet1!$A669)</f>
        <v>2024</v>
      </c>
      <c r="J669" s="17">
        <f>DAY(Sheet1!$A669)</f>
        <v>15</v>
      </c>
      <c r="K669" s="18" t="s">
        <v>2022</v>
      </c>
      <c r="L669" s="19" t="str">
        <f t="shared" si="21"/>
        <v>Regular Customer</v>
      </c>
    </row>
    <row r="670" spans="1:12" ht="15.75" customHeight="1" x14ac:dyDescent="0.3">
      <c r="A670" s="7">
        <v>45581</v>
      </c>
      <c r="B670" s="8" t="s">
        <v>1929</v>
      </c>
      <c r="C670" s="8" t="s">
        <v>24</v>
      </c>
      <c r="D670" s="8" t="s">
        <v>19</v>
      </c>
      <c r="E670" s="9">
        <v>22.4</v>
      </c>
      <c r="F670" s="8" t="s">
        <v>11</v>
      </c>
      <c r="G670" s="8">
        <v>22.4</v>
      </c>
      <c r="H670" s="10">
        <f t="shared" si="20"/>
        <v>10</v>
      </c>
      <c r="I670" s="10">
        <f>YEAR(Sheet1!$A670)</f>
        <v>2024</v>
      </c>
      <c r="J670" s="10">
        <f>DAY(Sheet1!$A670)</f>
        <v>16</v>
      </c>
      <c r="K670" s="12" t="s">
        <v>2022</v>
      </c>
      <c r="L670" s="13" t="str">
        <f t="shared" si="21"/>
        <v>Regular Customer</v>
      </c>
    </row>
    <row r="671" spans="1:12" ht="15.75" customHeight="1" x14ac:dyDescent="0.3">
      <c r="A671" s="14">
        <v>45475</v>
      </c>
      <c r="B671" s="15" t="s">
        <v>828</v>
      </c>
      <c r="C671" s="15" t="s">
        <v>24</v>
      </c>
      <c r="D671" s="15" t="s">
        <v>16</v>
      </c>
      <c r="E671" s="16">
        <v>22.41</v>
      </c>
      <c r="F671" s="15" t="s">
        <v>10</v>
      </c>
      <c r="G671" s="15">
        <v>22.41</v>
      </c>
      <c r="H671" s="17">
        <f t="shared" si="20"/>
        <v>7</v>
      </c>
      <c r="I671" s="17">
        <f>YEAR(Sheet1!$A671)</f>
        <v>2024</v>
      </c>
      <c r="J671" s="17">
        <f>DAY(Sheet1!$A671)</f>
        <v>2</v>
      </c>
      <c r="K671" s="18" t="s">
        <v>2023</v>
      </c>
      <c r="L671" s="19" t="str">
        <f t="shared" si="21"/>
        <v>Regular Customer</v>
      </c>
    </row>
    <row r="672" spans="1:12" ht="15.75" customHeight="1" x14ac:dyDescent="0.3">
      <c r="A672" s="7">
        <v>45578</v>
      </c>
      <c r="B672" s="8" t="s">
        <v>247</v>
      </c>
      <c r="C672" s="8" t="s">
        <v>8</v>
      </c>
      <c r="D672" s="8" t="s">
        <v>16</v>
      </c>
      <c r="E672" s="9">
        <v>22.45</v>
      </c>
      <c r="F672" s="8" t="s">
        <v>10</v>
      </c>
      <c r="G672" s="8">
        <v>22.45</v>
      </c>
      <c r="H672" s="10">
        <f t="shared" si="20"/>
        <v>10</v>
      </c>
      <c r="I672" s="10">
        <f>YEAR(Sheet1!$A672)</f>
        <v>2024</v>
      </c>
      <c r="J672" s="10">
        <f>DAY(Sheet1!$A672)</f>
        <v>13</v>
      </c>
      <c r="K672" s="12" t="s">
        <v>2022</v>
      </c>
      <c r="L672" s="13" t="str">
        <f t="shared" si="21"/>
        <v>Regular Customer</v>
      </c>
    </row>
    <row r="673" spans="1:12" ht="15.75" customHeight="1" x14ac:dyDescent="0.3">
      <c r="A673" s="14">
        <v>45663</v>
      </c>
      <c r="B673" s="15" t="s">
        <v>280</v>
      </c>
      <c r="C673" s="15" t="s">
        <v>24</v>
      </c>
      <c r="D673" s="15" t="s">
        <v>9</v>
      </c>
      <c r="E673" s="16">
        <v>22.45</v>
      </c>
      <c r="F673" s="15" t="s">
        <v>11</v>
      </c>
      <c r="G673" s="15">
        <v>22.45</v>
      </c>
      <c r="H673" s="17">
        <f t="shared" si="20"/>
        <v>1</v>
      </c>
      <c r="I673" s="17">
        <f>YEAR(Sheet1!$A673)</f>
        <v>2025</v>
      </c>
      <c r="J673" s="17">
        <f>DAY(Sheet1!$A673)</f>
        <v>6</v>
      </c>
      <c r="K673" s="18" t="s">
        <v>2022</v>
      </c>
      <c r="L673" s="19" t="str">
        <f t="shared" si="21"/>
        <v>Regular Customer</v>
      </c>
    </row>
    <row r="674" spans="1:12" ht="15.75" customHeight="1" x14ac:dyDescent="0.3">
      <c r="A674" s="7">
        <v>45683</v>
      </c>
      <c r="B674" s="8" t="s">
        <v>1632</v>
      </c>
      <c r="C674" s="8" t="s">
        <v>13</v>
      </c>
      <c r="D674" s="8" t="s">
        <v>16</v>
      </c>
      <c r="E674" s="9">
        <v>22.51</v>
      </c>
      <c r="F674" s="8" t="s">
        <v>10</v>
      </c>
      <c r="G674" s="8">
        <v>22.51</v>
      </c>
      <c r="H674" s="10">
        <f t="shared" si="20"/>
        <v>1</v>
      </c>
      <c r="I674" s="10">
        <f>YEAR(Sheet1!$A674)</f>
        <v>2025</v>
      </c>
      <c r="J674" s="10">
        <f>DAY(Sheet1!$A674)</f>
        <v>26</v>
      </c>
      <c r="K674" s="12" t="s">
        <v>2022</v>
      </c>
      <c r="L674" s="13" t="str">
        <f t="shared" si="21"/>
        <v>Regular Customer</v>
      </c>
    </row>
    <row r="675" spans="1:12" ht="15.75" customHeight="1" x14ac:dyDescent="0.3">
      <c r="A675" s="14">
        <v>45507</v>
      </c>
      <c r="B675" s="15" t="s">
        <v>1786</v>
      </c>
      <c r="C675" s="15" t="s">
        <v>24</v>
      </c>
      <c r="D675" s="15" t="s">
        <v>16</v>
      </c>
      <c r="E675" s="16">
        <v>22.52</v>
      </c>
      <c r="F675" s="15" t="s">
        <v>10</v>
      </c>
      <c r="G675" s="15">
        <v>22.52</v>
      </c>
      <c r="H675" s="17">
        <f t="shared" si="20"/>
        <v>8</v>
      </c>
      <c r="I675" s="17">
        <f>YEAR(Sheet1!$A675)</f>
        <v>2024</v>
      </c>
      <c r="J675" s="17">
        <f>DAY(Sheet1!$A675)</f>
        <v>3</v>
      </c>
      <c r="K675" s="18" t="s">
        <v>2022</v>
      </c>
      <c r="L675" s="19" t="str">
        <f t="shared" si="21"/>
        <v>Regular Customer</v>
      </c>
    </row>
    <row r="676" spans="1:12" ht="15.75" customHeight="1" x14ac:dyDescent="0.3">
      <c r="A676" s="7">
        <v>45414</v>
      </c>
      <c r="B676" s="8" t="s">
        <v>1545</v>
      </c>
      <c r="C676" s="8" t="s">
        <v>8</v>
      </c>
      <c r="D676" s="8" t="s">
        <v>14</v>
      </c>
      <c r="E676" s="9">
        <v>22.53</v>
      </c>
      <c r="F676" s="8" t="s">
        <v>11</v>
      </c>
      <c r="G676" s="8">
        <v>22.53</v>
      </c>
      <c r="H676" s="10">
        <f t="shared" si="20"/>
        <v>5</v>
      </c>
      <c r="I676" s="10">
        <f>YEAR(Sheet1!$A676)</f>
        <v>2024</v>
      </c>
      <c r="J676" s="10">
        <f>DAY(Sheet1!$A676)</f>
        <v>2</v>
      </c>
      <c r="K676" s="12" t="s">
        <v>2022</v>
      </c>
      <c r="L676" s="13" t="str">
        <f t="shared" si="21"/>
        <v>Regular Customer</v>
      </c>
    </row>
    <row r="677" spans="1:12" ht="15.75" customHeight="1" x14ac:dyDescent="0.3">
      <c r="A677" s="14">
        <v>45661</v>
      </c>
      <c r="B677" s="15" t="s">
        <v>1190</v>
      </c>
      <c r="C677" s="15" t="s">
        <v>18</v>
      </c>
      <c r="D677" s="15" t="s">
        <v>19</v>
      </c>
      <c r="E677" s="16">
        <v>22.55</v>
      </c>
      <c r="F677" s="15" t="s">
        <v>10</v>
      </c>
      <c r="G677" s="15">
        <v>22.55</v>
      </c>
      <c r="H677" s="17">
        <f t="shared" si="20"/>
        <v>1</v>
      </c>
      <c r="I677" s="17">
        <f>YEAR(Sheet1!$A677)</f>
        <v>2025</v>
      </c>
      <c r="J677" s="17">
        <f>DAY(Sheet1!$A677)</f>
        <v>4</v>
      </c>
      <c r="K677" s="18" t="s">
        <v>2022</v>
      </c>
      <c r="L677" s="19" t="str">
        <f t="shared" si="21"/>
        <v>Regular Customer</v>
      </c>
    </row>
    <row r="678" spans="1:12" ht="15.75" customHeight="1" x14ac:dyDescent="0.3">
      <c r="A678" s="7">
        <v>45767</v>
      </c>
      <c r="B678" s="8" t="s">
        <v>1378</v>
      </c>
      <c r="C678" s="8" t="s">
        <v>13</v>
      </c>
      <c r="D678" s="8" t="s">
        <v>14</v>
      </c>
      <c r="E678" s="9">
        <v>7.52</v>
      </c>
      <c r="F678" s="8" t="s">
        <v>10</v>
      </c>
      <c r="G678" s="8">
        <v>22.56</v>
      </c>
      <c r="H678" s="10">
        <f t="shared" si="20"/>
        <v>4</v>
      </c>
      <c r="I678" s="10">
        <f>YEAR(Sheet1!$A678)</f>
        <v>2025</v>
      </c>
      <c r="J678" s="10">
        <f>DAY(Sheet1!$A678)</f>
        <v>20</v>
      </c>
      <c r="K678" s="12" t="s">
        <v>2022</v>
      </c>
      <c r="L678" s="13" t="str">
        <f t="shared" si="21"/>
        <v>Regular Customer</v>
      </c>
    </row>
    <row r="679" spans="1:12" ht="15.75" customHeight="1" x14ac:dyDescent="0.3">
      <c r="A679" s="14">
        <v>45694</v>
      </c>
      <c r="B679" s="15" t="s">
        <v>387</v>
      </c>
      <c r="C679" s="15" t="s">
        <v>18</v>
      </c>
      <c r="D679" s="15" t="s">
        <v>14</v>
      </c>
      <c r="E679" s="16">
        <v>22.58</v>
      </c>
      <c r="F679" s="15" t="s">
        <v>10</v>
      </c>
      <c r="G679" s="15">
        <v>22.58</v>
      </c>
      <c r="H679" s="17">
        <f t="shared" si="20"/>
        <v>2</v>
      </c>
      <c r="I679" s="17">
        <f>YEAR(Sheet1!$A679)</f>
        <v>2025</v>
      </c>
      <c r="J679" s="17">
        <f>DAY(Sheet1!$A679)</f>
        <v>6</v>
      </c>
      <c r="K679" s="18" t="s">
        <v>2022</v>
      </c>
      <c r="L679" s="19" t="str">
        <f t="shared" si="21"/>
        <v>Regular Customer</v>
      </c>
    </row>
    <row r="680" spans="1:12" ht="15.75" customHeight="1" x14ac:dyDescent="0.3">
      <c r="A680" s="7">
        <v>45508</v>
      </c>
      <c r="B680" s="8" t="s">
        <v>1304</v>
      </c>
      <c r="C680" s="8" t="s">
        <v>24</v>
      </c>
      <c r="D680" s="8" t="s">
        <v>9</v>
      </c>
      <c r="E680" s="9">
        <v>22.6</v>
      </c>
      <c r="F680" s="8" t="s">
        <v>11</v>
      </c>
      <c r="G680" s="8">
        <v>22.6</v>
      </c>
      <c r="H680" s="10">
        <f t="shared" si="20"/>
        <v>8</v>
      </c>
      <c r="I680" s="10">
        <f>YEAR(Sheet1!$A680)</f>
        <v>2024</v>
      </c>
      <c r="J680" s="10">
        <f>DAY(Sheet1!$A680)</f>
        <v>4</v>
      </c>
      <c r="K680" s="12" t="s">
        <v>2022</v>
      </c>
      <c r="L680" s="13" t="str">
        <f t="shared" si="21"/>
        <v>Regular Customer</v>
      </c>
    </row>
    <row r="681" spans="1:12" ht="15.75" customHeight="1" x14ac:dyDescent="0.3">
      <c r="A681" s="14">
        <v>45686</v>
      </c>
      <c r="B681" s="15" t="s">
        <v>1964</v>
      </c>
      <c r="C681" s="15" t="s">
        <v>24</v>
      </c>
      <c r="D681" s="15" t="s">
        <v>16</v>
      </c>
      <c r="E681" s="16">
        <v>22.61</v>
      </c>
      <c r="F681" s="15" t="s">
        <v>11</v>
      </c>
      <c r="G681" s="15">
        <v>22.61</v>
      </c>
      <c r="H681" s="17">
        <f t="shared" si="20"/>
        <v>1</v>
      </c>
      <c r="I681" s="17">
        <f>YEAR(Sheet1!$A681)</f>
        <v>2025</v>
      </c>
      <c r="J681" s="17">
        <f>DAY(Sheet1!$A681)</f>
        <v>29</v>
      </c>
      <c r="K681" s="18" t="s">
        <v>2022</v>
      </c>
      <c r="L681" s="19" t="str">
        <f t="shared" si="21"/>
        <v>Regular Customer</v>
      </c>
    </row>
    <row r="682" spans="1:12" ht="15.75" customHeight="1" x14ac:dyDescent="0.3">
      <c r="A682" s="7">
        <v>45738</v>
      </c>
      <c r="B682" s="8" t="s">
        <v>265</v>
      </c>
      <c r="C682" s="8" t="s">
        <v>18</v>
      </c>
      <c r="D682" s="8" t="s">
        <v>19</v>
      </c>
      <c r="E682" s="9">
        <v>22.61</v>
      </c>
      <c r="F682" s="8" t="s">
        <v>11</v>
      </c>
      <c r="G682" s="8">
        <v>22.61</v>
      </c>
      <c r="H682" s="10">
        <f t="shared" si="20"/>
        <v>3</v>
      </c>
      <c r="I682" s="10">
        <f>YEAR(Sheet1!$A682)</f>
        <v>2025</v>
      </c>
      <c r="J682" s="10">
        <f>DAY(Sheet1!$A682)</f>
        <v>22</v>
      </c>
      <c r="K682" s="12" t="s">
        <v>2022</v>
      </c>
      <c r="L682" s="13" t="str">
        <f t="shared" si="21"/>
        <v>Regular Customer</v>
      </c>
    </row>
    <row r="683" spans="1:12" ht="15.75" customHeight="1" x14ac:dyDescent="0.3">
      <c r="A683" s="14">
        <v>45524</v>
      </c>
      <c r="B683" s="15" t="s">
        <v>1699</v>
      </c>
      <c r="C683" s="15" t="s">
        <v>24</v>
      </c>
      <c r="D683" s="15" t="s">
        <v>19</v>
      </c>
      <c r="E683" s="16">
        <v>22.63</v>
      </c>
      <c r="F683" s="15" t="s">
        <v>11</v>
      </c>
      <c r="G683" s="15">
        <v>22.63</v>
      </c>
      <c r="H683" s="17">
        <f t="shared" si="20"/>
        <v>8</v>
      </c>
      <c r="I683" s="17">
        <f>YEAR(Sheet1!$A683)</f>
        <v>2024</v>
      </c>
      <c r="J683" s="17">
        <f>DAY(Sheet1!$A683)</f>
        <v>20</v>
      </c>
      <c r="K683" s="18" t="s">
        <v>2023</v>
      </c>
      <c r="L683" s="19" t="str">
        <f t="shared" si="21"/>
        <v>Regular Customer</v>
      </c>
    </row>
    <row r="684" spans="1:12" ht="15.75" customHeight="1" x14ac:dyDescent="0.3">
      <c r="A684" s="7">
        <v>45697</v>
      </c>
      <c r="B684" s="8" t="s">
        <v>395</v>
      </c>
      <c r="C684" s="8" t="s">
        <v>8</v>
      </c>
      <c r="D684" s="8" t="s">
        <v>9</v>
      </c>
      <c r="E684" s="9">
        <v>22.66</v>
      </c>
      <c r="F684" s="8" t="s">
        <v>11</v>
      </c>
      <c r="G684" s="8">
        <v>22.66</v>
      </c>
      <c r="H684" s="10">
        <f t="shared" si="20"/>
        <v>2</v>
      </c>
      <c r="I684" s="10">
        <f>YEAR(Sheet1!$A684)</f>
        <v>2025</v>
      </c>
      <c r="J684" s="10">
        <f>DAY(Sheet1!$A684)</f>
        <v>9</v>
      </c>
      <c r="K684" s="12" t="s">
        <v>2023</v>
      </c>
      <c r="L684" s="13" t="str">
        <f t="shared" si="21"/>
        <v>Regular Customer</v>
      </c>
    </row>
    <row r="685" spans="1:12" ht="15.75" customHeight="1" x14ac:dyDescent="0.3">
      <c r="A685" s="14">
        <v>45750</v>
      </c>
      <c r="B685" s="15" t="s">
        <v>727</v>
      </c>
      <c r="C685" s="15" t="s">
        <v>18</v>
      </c>
      <c r="D685" s="15" t="s">
        <v>16</v>
      </c>
      <c r="E685" s="16">
        <v>22.66</v>
      </c>
      <c r="F685" s="15" t="s">
        <v>10</v>
      </c>
      <c r="G685" s="15">
        <v>22.66</v>
      </c>
      <c r="H685" s="17">
        <f t="shared" si="20"/>
        <v>4</v>
      </c>
      <c r="I685" s="17">
        <f>YEAR(Sheet1!$A685)</f>
        <v>2025</v>
      </c>
      <c r="J685" s="17">
        <f>DAY(Sheet1!$A685)</f>
        <v>3</v>
      </c>
      <c r="K685" s="18" t="s">
        <v>2023</v>
      </c>
      <c r="L685" s="19" t="str">
        <f t="shared" si="21"/>
        <v>Regular Customer</v>
      </c>
    </row>
    <row r="686" spans="1:12" ht="15.75" customHeight="1" x14ac:dyDescent="0.3">
      <c r="A686" s="7">
        <v>45763</v>
      </c>
      <c r="B686" s="8" t="s">
        <v>1682</v>
      </c>
      <c r="C686" s="8" t="s">
        <v>24</v>
      </c>
      <c r="D686" s="8" t="s">
        <v>14</v>
      </c>
      <c r="E686" s="9">
        <v>11.38</v>
      </c>
      <c r="F686" s="8" t="s">
        <v>10</v>
      </c>
      <c r="G686" s="8">
        <v>22.76</v>
      </c>
      <c r="H686" s="10">
        <f t="shared" si="20"/>
        <v>4</v>
      </c>
      <c r="I686" s="10">
        <f>YEAR(Sheet1!$A686)</f>
        <v>2025</v>
      </c>
      <c r="J686" s="10">
        <f>DAY(Sheet1!$A686)</f>
        <v>16</v>
      </c>
      <c r="K686" s="12" t="s">
        <v>2023</v>
      </c>
      <c r="L686" s="13" t="str">
        <f t="shared" si="21"/>
        <v>Regular Customer</v>
      </c>
    </row>
    <row r="687" spans="1:12" ht="15.75" customHeight="1" x14ac:dyDescent="0.3">
      <c r="A687" s="14">
        <v>45487</v>
      </c>
      <c r="B687" s="15" t="s">
        <v>1245</v>
      </c>
      <c r="C687" s="15" t="s">
        <v>8</v>
      </c>
      <c r="D687" s="15" t="s">
        <v>16</v>
      </c>
      <c r="E687" s="16">
        <v>22.77</v>
      </c>
      <c r="F687" s="15" t="s">
        <v>10</v>
      </c>
      <c r="G687" s="15">
        <v>22.77</v>
      </c>
      <c r="H687" s="17">
        <f t="shared" si="20"/>
        <v>7</v>
      </c>
      <c r="I687" s="17">
        <f>YEAR(Sheet1!$A687)</f>
        <v>2024</v>
      </c>
      <c r="J687" s="17">
        <f>DAY(Sheet1!$A687)</f>
        <v>14</v>
      </c>
      <c r="K687" s="18" t="s">
        <v>2023</v>
      </c>
      <c r="L687" s="19" t="str">
        <f t="shared" si="21"/>
        <v>Regular Customer</v>
      </c>
    </row>
    <row r="688" spans="1:12" ht="15.75" customHeight="1" x14ac:dyDescent="0.3">
      <c r="A688" s="7">
        <v>45450</v>
      </c>
      <c r="B688" s="8" t="s">
        <v>1351</v>
      </c>
      <c r="C688" s="8" t="s">
        <v>18</v>
      </c>
      <c r="D688" s="8" t="s">
        <v>9</v>
      </c>
      <c r="E688" s="9">
        <v>22.78</v>
      </c>
      <c r="F688" s="8" t="s">
        <v>11</v>
      </c>
      <c r="G688" s="8">
        <v>22.78</v>
      </c>
      <c r="H688" s="10">
        <f t="shared" si="20"/>
        <v>6</v>
      </c>
      <c r="I688" s="10">
        <f>YEAR(Sheet1!$A688)</f>
        <v>2024</v>
      </c>
      <c r="J688" s="10">
        <f>DAY(Sheet1!$A688)</f>
        <v>7</v>
      </c>
      <c r="K688" s="12" t="s">
        <v>2022</v>
      </c>
      <c r="L688" s="13" t="str">
        <f t="shared" si="21"/>
        <v>Regular Customer</v>
      </c>
    </row>
    <row r="689" spans="1:12" ht="15.75" customHeight="1" x14ac:dyDescent="0.3">
      <c r="A689" s="14">
        <v>45705</v>
      </c>
      <c r="B689" s="15" t="s">
        <v>842</v>
      </c>
      <c r="C689" s="15" t="s">
        <v>24</v>
      </c>
      <c r="D689" s="15" t="s">
        <v>9</v>
      </c>
      <c r="E689" s="16">
        <v>11.4</v>
      </c>
      <c r="F689" s="15" t="s">
        <v>10</v>
      </c>
      <c r="G689" s="15">
        <v>22.8</v>
      </c>
      <c r="H689" s="17">
        <f t="shared" si="20"/>
        <v>2</v>
      </c>
      <c r="I689" s="17">
        <f>YEAR(Sheet1!$A689)</f>
        <v>2025</v>
      </c>
      <c r="J689" s="17">
        <f>DAY(Sheet1!$A689)</f>
        <v>17</v>
      </c>
      <c r="K689" s="18" t="s">
        <v>2022</v>
      </c>
      <c r="L689" s="19" t="str">
        <f t="shared" si="21"/>
        <v>Regular Customer</v>
      </c>
    </row>
    <row r="690" spans="1:12" ht="15.75" customHeight="1" x14ac:dyDescent="0.3">
      <c r="A690" s="7">
        <v>45770</v>
      </c>
      <c r="B690" s="8" t="s">
        <v>629</v>
      </c>
      <c r="C690" s="8" t="s">
        <v>18</v>
      </c>
      <c r="D690" s="8" t="s">
        <v>14</v>
      </c>
      <c r="E690" s="9">
        <v>22.83</v>
      </c>
      <c r="F690" s="8" t="s">
        <v>11</v>
      </c>
      <c r="G690" s="8">
        <v>22.83</v>
      </c>
      <c r="H690" s="10">
        <f t="shared" si="20"/>
        <v>4</v>
      </c>
      <c r="I690" s="10">
        <f>YEAR(Sheet1!$A690)</f>
        <v>2025</v>
      </c>
      <c r="J690" s="10">
        <f>DAY(Sheet1!$A690)</f>
        <v>23</v>
      </c>
      <c r="K690" s="12" t="s">
        <v>2022</v>
      </c>
      <c r="L690" s="13" t="str">
        <f t="shared" si="21"/>
        <v>Regular Customer</v>
      </c>
    </row>
    <row r="691" spans="1:12" ht="15.75" customHeight="1" x14ac:dyDescent="0.3">
      <c r="A691" s="14">
        <v>45705</v>
      </c>
      <c r="B691" s="15" t="s">
        <v>1029</v>
      </c>
      <c r="C691" s="15" t="s">
        <v>8</v>
      </c>
      <c r="D691" s="15" t="s">
        <v>14</v>
      </c>
      <c r="E691" s="16">
        <v>22.87</v>
      </c>
      <c r="F691" s="15" t="s">
        <v>10</v>
      </c>
      <c r="G691" s="15">
        <v>22.87</v>
      </c>
      <c r="H691" s="17">
        <f t="shared" si="20"/>
        <v>2</v>
      </c>
      <c r="I691" s="17">
        <f>YEAR(Sheet1!$A691)</f>
        <v>2025</v>
      </c>
      <c r="J691" s="17">
        <f>DAY(Sheet1!$A691)</f>
        <v>17</v>
      </c>
      <c r="K691" s="18" t="s">
        <v>2023</v>
      </c>
      <c r="L691" s="19" t="str">
        <f t="shared" si="21"/>
        <v>Regular Customer</v>
      </c>
    </row>
    <row r="692" spans="1:12" ht="15.75" customHeight="1" x14ac:dyDescent="0.3">
      <c r="A692" s="7">
        <v>45611</v>
      </c>
      <c r="B692" s="8" t="s">
        <v>1020</v>
      </c>
      <c r="C692" s="8" t="s">
        <v>24</v>
      </c>
      <c r="D692" s="8" t="s">
        <v>16</v>
      </c>
      <c r="E692" s="9">
        <v>22.89</v>
      </c>
      <c r="F692" s="8" t="s">
        <v>10</v>
      </c>
      <c r="G692" s="8">
        <v>22.89</v>
      </c>
      <c r="H692" s="10">
        <f t="shared" si="20"/>
        <v>11</v>
      </c>
      <c r="I692" s="10">
        <f>YEAR(Sheet1!$A692)</f>
        <v>2024</v>
      </c>
      <c r="J692" s="10">
        <f>DAY(Sheet1!$A692)</f>
        <v>15</v>
      </c>
      <c r="K692" s="12" t="s">
        <v>2022</v>
      </c>
      <c r="L692" s="13" t="str">
        <f t="shared" si="21"/>
        <v>Regular Customer</v>
      </c>
    </row>
    <row r="693" spans="1:12" ht="15.75" customHeight="1" x14ac:dyDescent="0.3">
      <c r="A693" s="14">
        <v>45704</v>
      </c>
      <c r="B693" s="15" t="s">
        <v>1709</v>
      </c>
      <c r="C693" s="15" t="s">
        <v>24</v>
      </c>
      <c r="D693" s="15" t="s">
        <v>16</v>
      </c>
      <c r="E693" s="16">
        <v>7.63</v>
      </c>
      <c r="F693" s="15" t="s">
        <v>10</v>
      </c>
      <c r="G693" s="15">
        <v>22.89</v>
      </c>
      <c r="H693" s="17">
        <f t="shared" si="20"/>
        <v>2</v>
      </c>
      <c r="I693" s="17">
        <f>YEAR(Sheet1!$A693)</f>
        <v>2025</v>
      </c>
      <c r="J693" s="17">
        <f>DAY(Sheet1!$A693)</f>
        <v>16</v>
      </c>
      <c r="K693" s="18" t="s">
        <v>2022</v>
      </c>
      <c r="L693" s="19" t="str">
        <f t="shared" si="21"/>
        <v>Regular Customer</v>
      </c>
    </row>
    <row r="694" spans="1:12" ht="15.75" customHeight="1" x14ac:dyDescent="0.3">
      <c r="A694" s="7">
        <v>45609</v>
      </c>
      <c r="B694" s="8" t="s">
        <v>666</v>
      </c>
      <c r="C694" s="8" t="s">
        <v>24</v>
      </c>
      <c r="D694" s="8" t="s">
        <v>19</v>
      </c>
      <c r="E694" s="9">
        <v>22.92</v>
      </c>
      <c r="F694" s="8" t="s">
        <v>10</v>
      </c>
      <c r="G694" s="8">
        <v>22.92</v>
      </c>
      <c r="H694" s="10">
        <f t="shared" si="20"/>
        <v>11</v>
      </c>
      <c r="I694" s="10">
        <f>YEAR(Sheet1!$A694)</f>
        <v>2024</v>
      </c>
      <c r="J694" s="10">
        <f>DAY(Sheet1!$A694)</f>
        <v>13</v>
      </c>
      <c r="K694" s="12" t="s">
        <v>2022</v>
      </c>
      <c r="L694" s="13" t="str">
        <f t="shared" si="21"/>
        <v>Regular Customer</v>
      </c>
    </row>
    <row r="695" spans="1:12" ht="15.75" customHeight="1" x14ac:dyDescent="0.3">
      <c r="A695" s="14">
        <v>45568</v>
      </c>
      <c r="B695" s="15" t="s">
        <v>139</v>
      </c>
      <c r="C695" s="15" t="s">
        <v>18</v>
      </c>
      <c r="D695" s="15" t="s">
        <v>14</v>
      </c>
      <c r="E695" s="16">
        <v>11.47</v>
      </c>
      <c r="F695" s="15" t="s">
        <v>11</v>
      </c>
      <c r="G695" s="15">
        <v>22.94</v>
      </c>
      <c r="H695" s="17">
        <f t="shared" si="20"/>
        <v>10</v>
      </c>
      <c r="I695" s="17">
        <f>YEAR(Sheet1!$A695)</f>
        <v>2024</v>
      </c>
      <c r="J695" s="17">
        <f>DAY(Sheet1!$A695)</f>
        <v>3</v>
      </c>
      <c r="K695" s="18" t="s">
        <v>2022</v>
      </c>
      <c r="L695" s="19" t="str">
        <f t="shared" si="21"/>
        <v>Regular Customer</v>
      </c>
    </row>
    <row r="696" spans="1:12" ht="15.75" customHeight="1" x14ac:dyDescent="0.3">
      <c r="A696" s="7">
        <v>45600</v>
      </c>
      <c r="B696" s="8" t="s">
        <v>721</v>
      </c>
      <c r="C696" s="8" t="s">
        <v>18</v>
      </c>
      <c r="D696" s="8" t="s">
        <v>14</v>
      </c>
      <c r="E696" s="9">
        <v>22.96</v>
      </c>
      <c r="F696" s="8" t="s">
        <v>11</v>
      </c>
      <c r="G696" s="8">
        <v>22.96</v>
      </c>
      <c r="H696" s="10">
        <f t="shared" si="20"/>
        <v>11</v>
      </c>
      <c r="I696" s="10">
        <f>YEAR(Sheet1!$A696)</f>
        <v>2024</v>
      </c>
      <c r="J696" s="10">
        <f>DAY(Sheet1!$A696)</f>
        <v>4</v>
      </c>
      <c r="K696" s="12" t="s">
        <v>2023</v>
      </c>
      <c r="L696" s="13" t="str">
        <f t="shared" si="21"/>
        <v>Regular Customer</v>
      </c>
    </row>
    <row r="697" spans="1:12" ht="15.75" customHeight="1" x14ac:dyDescent="0.3">
      <c r="A697" s="14">
        <v>45417</v>
      </c>
      <c r="B697" s="15" t="s">
        <v>65</v>
      </c>
      <c r="C697" s="15" t="s">
        <v>24</v>
      </c>
      <c r="D697" s="15" t="s">
        <v>19</v>
      </c>
      <c r="E697" s="16">
        <v>11.5</v>
      </c>
      <c r="F697" s="15" t="s">
        <v>10</v>
      </c>
      <c r="G697" s="15">
        <v>23</v>
      </c>
      <c r="H697" s="17">
        <f t="shared" si="20"/>
        <v>5</v>
      </c>
      <c r="I697" s="17">
        <f>YEAR(Sheet1!$A697)</f>
        <v>2024</v>
      </c>
      <c r="J697" s="17">
        <f>DAY(Sheet1!$A697)</f>
        <v>5</v>
      </c>
      <c r="K697" s="18" t="s">
        <v>2023</v>
      </c>
      <c r="L697" s="19" t="str">
        <f t="shared" si="21"/>
        <v>Regular Customer</v>
      </c>
    </row>
    <row r="698" spans="1:12" ht="15.75" customHeight="1" x14ac:dyDescent="0.3">
      <c r="A698" s="7">
        <v>45457</v>
      </c>
      <c r="B698" s="8" t="s">
        <v>756</v>
      </c>
      <c r="C698" s="8" t="s">
        <v>24</v>
      </c>
      <c r="D698" s="8" t="s">
        <v>14</v>
      </c>
      <c r="E698" s="9">
        <v>23.02</v>
      </c>
      <c r="F698" s="8" t="s">
        <v>11</v>
      </c>
      <c r="G698" s="8">
        <v>23.02</v>
      </c>
      <c r="H698" s="10">
        <f t="shared" si="20"/>
        <v>6</v>
      </c>
      <c r="I698" s="10">
        <f>YEAR(Sheet1!$A698)</f>
        <v>2024</v>
      </c>
      <c r="J698" s="10">
        <f>DAY(Sheet1!$A698)</f>
        <v>14</v>
      </c>
      <c r="K698" s="12" t="s">
        <v>2023</v>
      </c>
      <c r="L698" s="13" t="str">
        <f t="shared" si="21"/>
        <v>Regular Customer</v>
      </c>
    </row>
    <row r="699" spans="1:12" ht="15.75" customHeight="1" x14ac:dyDescent="0.3">
      <c r="A699" s="14">
        <v>45625</v>
      </c>
      <c r="B699" s="15" t="s">
        <v>138</v>
      </c>
      <c r="C699" s="15" t="s">
        <v>13</v>
      </c>
      <c r="D699" s="15" t="s">
        <v>16</v>
      </c>
      <c r="E699" s="16">
        <v>23.02</v>
      </c>
      <c r="F699" s="15" t="s">
        <v>10</v>
      </c>
      <c r="G699" s="15">
        <v>23.02</v>
      </c>
      <c r="H699" s="17">
        <f t="shared" si="20"/>
        <v>11</v>
      </c>
      <c r="I699" s="17">
        <f>YEAR(Sheet1!$A699)</f>
        <v>2024</v>
      </c>
      <c r="J699" s="17">
        <f>DAY(Sheet1!$A699)</f>
        <v>29</v>
      </c>
      <c r="K699" s="18" t="s">
        <v>2022</v>
      </c>
      <c r="L699" s="19" t="str">
        <f t="shared" si="21"/>
        <v>Regular Customer</v>
      </c>
    </row>
    <row r="700" spans="1:12" ht="15.75" customHeight="1" x14ac:dyDescent="0.3">
      <c r="A700" s="7">
        <v>45424</v>
      </c>
      <c r="B700" s="8" t="s">
        <v>1038</v>
      </c>
      <c r="C700" s="8" t="s">
        <v>18</v>
      </c>
      <c r="D700" s="8" t="s">
        <v>14</v>
      </c>
      <c r="E700" s="9">
        <v>23.04</v>
      </c>
      <c r="F700" s="8" t="s">
        <v>10</v>
      </c>
      <c r="G700" s="8">
        <v>23.04</v>
      </c>
      <c r="H700" s="10">
        <f t="shared" si="20"/>
        <v>5</v>
      </c>
      <c r="I700" s="10">
        <f>YEAR(Sheet1!$A700)</f>
        <v>2024</v>
      </c>
      <c r="J700" s="10">
        <f>DAY(Sheet1!$A700)</f>
        <v>12</v>
      </c>
      <c r="K700" s="12" t="s">
        <v>2022</v>
      </c>
      <c r="L700" s="13" t="str">
        <f t="shared" si="21"/>
        <v>Regular Customer</v>
      </c>
    </row>
    <row r="701" spans="1:12" ht="15.75" customHeight="1" x14ac:dyDescent="0.3">
      <c r="A701" s="14">
        <v>45414</v>
      </c>
      <c r="B701" s="15" t="s">
        <v>42</v>
      </c>
      <c r="C701" s="15" t="s">
        <v>8</v>
      </c>
      <c r="D701" s="15" t="s">
        <v>9</v>
      </c>
      <c r="E701" s="16">
        <v>7.69</v>
      </c>
      <c r="F701" s="15" t="s">
        <v>11</v>
      </c>
      <c r="G701" s="15">
        <v>23.07</v>
      </c>
      <c r="H701" s="17">
        <f t="shared" si="20"/>
        <v>5</v>
      </c>
      <c r="I701" s="17">
        <f>YEAR(Sheet1!$A701)</f>
        <v>2024</v>
      </c>
      <c r="J701" s="17">
        <f>DAY(Sheet1!$A701)</f>
        <v>2</v>
      </c>
      <c r="K701" s="18" t="s">
        <v>2023</v>
      </c>
      <c r="L701" s="19" t="str">
        <f t="shared" si="21"/>
        <v>Regular Customer</v>
      </c>
    </row>
    <row r="702" spans="1:12" ht="15.75" customHeight="1" x14ac:dyDescent="0.3">
      <c r="A702" s="7">
        <v>45753</v>
      </c>
      <c r="B702" s="8" t="s">
        <v>1228</v>
      </c>
      <c r="C702" s="8" t="s">
        <v>24</v>
      </c>
      <c r="D702" s="8" t="s">
        <v>16</v>
      </c>
      <c r="E702" s="9">
        <v>23.09</v>
      </c>
      <c r="F702" s="8" t="s">
        <v>10</v>
      </c>
      <c r="G702" s="8">
        <v>23.09</v>
      </c>
      <c r="H702" s="10">
        <f t="shared" si="20"/>
        <v>4</v>
      </c>
      <c r="I702" s="10">
        <f>YEAR(Sheet1!$A702)</f>
        <v>2025</v>
      </c>
      <c r="J702" s="10">
        <f>DAY(Sheet1!$A702)</f>
        <v>6</v>
      </c>
      <c r="K702" s="12" t="s">
        <v>2023</v>
      </c>
      <c r="L702" s="13" t="str">
        <f t="shared" si="21"/>
        <v>Regular Customer</v>
      </c>
    </row>
    <row r="703" spans="1:12" ht="15.75" customHeight="1" x14ac:dyDescent="0.3">
      <c r="A703" s="14">
        <v>45568</v>
      </c>
      <c r="B703" s="15" t="s">
        <v>1600</v>
      </c>
      <c r="C703" s="15" t="s">
        <v>8</v>
      </c>
      <c r="D703" s="15" t="s">
        <v>16</v>
      </c>
      <c r="E703" s="16">
        <v>23.1</v>
      </c>
      <c r="F703" s="15" t="s">
        <v>10</v>
      </c>
      <c r="G703" s="15">
        <v>23.1</v>
      </c>
      <c r="H703" s="17">
        <f t="shared" si="20"/>
        <v>10</v>
      </c>
      <c r="I703" s="17">
        <f>YEAR(Sheet1!$A703)</f>
        <v>2024</v>
      </c>
      <c r="J703" s="17">
        <f>DAY(Sheet1!$A703)</f>
        <v>3</v>
      </c>
      <c r="K703" s="18" t="s">
        <v>2023</v>
      </c>
      <c r="L703" s="19" t="str">
        <f t="shared" si="21"/>
        <v>Regular Customer</v>
      </c>
    </row>
    <row r="704" spans="1:12" ht="15.75" customHeight="1" x14ac:dyDescent="0.3">
      <c r="A704" s="7">
        <v>45480</v>
      </c>
      <c r="B704" s="8" t="s">
        <v>1169</v>
      </c>
      <c r="C704" s="8" t="s">
        <v>18</v>
      </c>
      <c r="D704" s="8" t="s">
        <v>19</v>
      </c>
      <c r="E704" s="9">
        <v>23.13</v>
      </c>
      <c r="F704" s="8" t="s">
        <v>11</v>
      </c>
      <c r="G704" s="8">
        <v>23.13</v>
      </c>
      <c r="H704" s="10">
        <f t="shared" si="20"/>
        <v>7</v>
      </c>
      <c r="I704" s="10">
        <f>YEAR(Sheet1!$A704)</f>
        <v>2024</v>
      </c>
      <c r="J704" s="10">
        <f>DAY(Sheet1!$A704)</f>
        <v>7</v>
      </c>
      <c r="K704" s="12" t="s">
        <v>2023</v>
      </c>
      <c r="L704" s="13" t="str">
        <f t="shared" si="21"/>
        <v>Regular Customer</v>
      </c>
    </row>
    <row r="705" spans="1:12" ht="15.75" customHeight="1" x14ac:dyDescent="0.3">
      <c r="A705" s="14">
        <v>45418</v>
      </c>
      <c r="B705" s="15" t="s">
        <v>1504</v>
      </c>
      <c r="C705" s="15" t="s">
        <v>18</v>
      </c>
      <c r="D705" s="15" t="s">
        <v>14</v>
      </c>
      <c r="E705" s="16">
        <v>23.21</v>
      </c>
      <c r="F705" s="15" t="s">
        <v>11</v>
      </c>
      <c r="G705" s="15">
        <v>23.21</v>
      </c>
      <c r="H705" s="17">
        <f t="shared" si="20"/>
        <v>5</v>
      </c>
      <c r="I705" s="17">
        <f>YEAR(Sheet1!$A705)</f>
        <v>2024</v>
      </c>
      <c r="J705" s="17">
        <f>DAY(Sheet1!$A705)</f>
        <v>6</v>
      </c>
      <c r="K705" s="18" t="s">
        <v>2022</v>
      </c>
      <c r="L705" s="19" t="str">
        <f t="shared" si="21"/>
        <v>Regular Customer</v>
      </c>
    </row>
    <row r="706" spans="1:12" ht="15.75" customHeight="1" x14ac:dyDescent="0.3">
      <c r="A706" s="7">
        <v>45731</v>
      </c>
      <c r="B706" s="8" t="s">
        <v>373</v>
      </c>
      <c r="C706" s="8" t="s">
        <v>24</v>
      </c>
      <c r="D706" s="8" t="s">
        <v>14</v>
      </c>
      <c r="E706" s="9">
        <v>11.62</v>
      </c>
      <c r="F706" s="8" t="s">
        <v>11</v>
      </c>
      <c r="G706" s="8">
        <v>23.24</v>
      </c>
      <c r="H706" s="10">
        <f t="shared" ref="H706:H769" si="22">MONTH(A706)</f>
        <v>3</v>
      </c>
      <c r="I706" s="10">
        <f>YEAR(Sheet1!$A706)</f>
        <v>2025</v>
      </c>
      <c r="J706" s="10">
        <f>DAY(Sheet1!$A706)</f>
        <v>15</v>
      </c>
      <c r="K706" s="12" t="s">
        <v>2023</v>
      </c>
      <c r="L706" s="13" t="str">
        <f t="shared" ref="L706:L769" si="23">IF(G706&gt;50,"Premium Customer","Regular Customer")</f>
        <v>Regular Customer</v>
      </c>
    </row>
    <row r="707" spans="1:12" ht="15.75" customHeight="1" x14ac:dyDescent="0.3">
      <c r="A707" s="14">
        <v>45686</v>
      </c>
      <c r="B707" s="15" t="s">
        <v>237</v>
      </c>
      <c r="C707" s="15" t="s">
        <v>8</v>
      </c>
      <c r="D707" s="15" t="s">
        <v>19</v>
      </c>
      <c r="E707" s="16">
        <v>11.63</v>
      </c>
      <c r="F707" s="15" t="s">
        <v>10</v>
      </c>
      <c r="G707" s="15">
        <v>23.26</v>
      </c>
      <c r="H707" s="17">
        <f t="shared" si="22"/>
        <v>1</v>
      </c>
      <c r="I707" s="17">
        <f>YEAR(Sheet1!$A707)</f>
        <v>2025</v>
      </c>
      <c r="J707" s="17">
        <f>DAY(Sheet1!$A707)</f>
        <v>29</v>
      </c>
      <c r="K707" s="18" t="s">
        <v>2022</v>
      </c>
      <c r="L707" s="19" t="str">
        <f t="shared" si="23"/>
        <v>Regular Customer</v>
      </c>
    </row>
    <row r="708" spans="1:12" ht="15.75" customHeight="1" x14ac:dyDescent="0.3">
      <c r="A708" s="7">
        <v>45504</v>
      </c>
      <c r="B708" s="8" t="s">
        <v>1141</v>
      </c>
      <c r="C708" s="8" t="s">
        <v>18</v>
      </c>
      <c r="D708" s="8" t="s">
        <v>19</v>
      </c>
      <c r="E708" s="9">
        <v>23.27</v>
      </c>
      <c r="F708" s="8" t="s">
        <v>10</v>
      </c>
      <c r="G708" s="8">
        <v>23.27</v>
      </c>
      <c r="H708" s="10">
        <f t="shared" si="22"/>
        <v>7</v>
      </c>
      <c r="I708" s="10">
        <f>YEAR(Sheet1!$A708)</f>
        <v>2024</v>
      </c>
      <c r="J708" s="10">
        <f>DAY(Sheet1!$A708)</f>
        <v>31</v>
      </c>
      <c r="K708" s="12" t="s">
        <v>2023</v>
      </c>
      <c r="L708" s="13" t="str">
        <f t="shared" si="23"/>
        <v>Regular Customer</v>
      </c>
    </row>
    <row r="709" spans="1:12" ht="15.75" customHeight="1" x14ac:dyDescent="0.3">
      <c r="A709" s="14">
        <v>45634</v>
      </c>
      <c r="B709" s="15" t="s">
        <v>1704</v>
      </c>
      <c r="C709" s="15" t="s">
        <v>13</v>
      </c>
      <c r="D709" s="15" t="s">
        <v>16</v>
      </c>
      <c r="E709" s="16">
        <v>11.64</v>
      </c>
      <c r="F709" s="15" t="s">
        <v>11</v>
      </c>
      <c r="G709" s="15">
        <v>23.28</v>
      </c>
      <c r="H709" s="17">
        <f t="shared" si="22"/>
        <v>12</v>
      </c>
      <c r="I709" s="17">
        <f>YEAR(Sheet1!$A709)</f>
        <v>2024</v>
      </c>
      <c r="J709" s="17">
        <f>DAY(Sheet1!$A709)</f>
        <v>8</v>
      </c>
      <c r="K709" s="18" t="s">
        <v>2023</v>
      </c>
      <c r="L709" s="19" t="str">
        <f t="shared" si="23"/>
        <v>Regular Customer</v>
      </c>
    </row>
    <row r="710" spans="1:12" ht="15.75" customHeight="1" x14ac:dyDescent="0.3">
      <c r="A710" s="7">
        <v>45596</v>
      </c>
      <c r="B710" s="8" t="s">
        <v>1995</v>
      </c>
      <c r="C710" s="8" t="s">
        <v>18</v>
      </c>
      <c r="D710" s="8" t="s">
        <v>16</v>
      </c>
      <c r="E710" s="9">
        <v>23.32</v>
      </c>
      <c r="F710" s="8" t="s">
        <v>11</v>
      </c>
      <c r="G710" s="8">
        <v>23.32</v>
      </c>
      <c r="H710" s="10">
        <f t="shared" si="22"/>
        <v>10</v>
      </c>
      <c r="I710" s="10">
        <f>YEAR(Sheet1!$A710)</f>
        <v>2024</v>
      </c>
      <c r="J710" s="10">
        <f>DAY(Sheet1!$A710)</f>
        <v>31</v>
      </c>
      <c r="K710" s="12" t="s">
        <v>2022</v>
      </c>
      <c r="L710" s="13" t="str">
        <f t="shared" si="23"/>
        <v>Regular Customer</v>
      </c>
    </row>
    <row r="711" spans="1:12" ht="15.75" customHeight="1" x14ac:dyDescent="0.3">
      <c r="A711" s="14">
        <v>45465</v>
      </c>
      <c r="B711" s="15" t="s">
        <v>1909</v>
      </c>
      <c r="C711" s="15" t="s">
        <v>8</v>
      </c>
      <c r="D711" s="15" t="s">
        <v>9</v>
      </c>
      <c r="E711" s="16">
        <v>7.78</v>
      </c>
      <c r="F711" s="15" t="s">
        <v>10</v>
      </c>
      <c r="G711" s="15">
        <v>23.34</v>
      </c>
      <c r="H711" s="17">
        <f t="shared" si="22"/>
        <v>6</v>
      </c>
      <c r="I711" s="17">
        <f>YEAR(Sheet1!$A711)</f>
        <v>2024</v>
      </c>
      <c r="J711" s="17">
        <f>DAY(Sheet1!$A711)</f>
        <v>22</v>
      </c>
      <c r="K711" s="18" t="s">
        <v>2022</v>
      </c>
      <c r="L711" s="19" t="str">
        <f t="shared" si="23"/>
        <v>Regular Customer</v>
      </c>
    </row>
    <row r="712" spans="1:12" ht="15.75" customHeight="1" x14ac:dyDescent="0.3">
      <c r="A712" s="7">
        <v>45616</v>
      </c>
      <c r="B712" s="8" t="s">
        <v>1723</v>
      </c>
      <c r="C712" s="8" t="s">
        <v>18</v>
      </c>
      <c r="D712" s="8" t="s">
        <v>16</v>
      </c>
      <c r="E712" s="9">
        <v>23.36</v>
      </c>
      <c r="F712" s="8" t="s">
        <v>11</v>
      </c>
      <c r="G712" s="8">
        <v>23.36</v>
      </c>
      <c r="H712" s="10">
        <f t="shared" si="22"/>
        <v>11</v>
      </c>
      <c r="I712" s="10">
        <f>YEAR(Sheet1!$A712)</f>
        <v>2024</v>
      </c>
      <c r="J712" s="10">
        <f>DAY(Sheet1!$A712)</f>
        <v>20</v>
      </c>
      <c r="K712" s="12" t="s">
        <v>2022</v>
      </c>
      <c r="L712" s="13" t="str">
        <f t="shared" si="23"/>
        <v>Regular Customer</v>
      </c>
    </row>
    <row r="713" spans="1:12" ht="15.75" customHeight="1" x14ac:dyDescent="0.3">
      <c r="A713" s="14">
        <v>45527</v>
      </c>
      <c r="B713" s="15" t="s">
        <v>1506</v>
      </c>
      <c r="C713" s="15" t="s">
        <v>24</v>
      </c>
      <c r="D713" s="15" t="s">
        <v>14</v>
      </c>
      <c r="E713" s="16">
        <v>11.72</v>
      </c>
      <c r="F713" s="15" t="s">
        <v>10</v>
      </c>
      <c r="G713" s="15">
        <v>23.44</v>
      </c>
      <c r="H713" s="17">
        <f t="shared" si="22"/>
        <v>8</v>
      </c>
      <c r="I713" s="17">
        <f>YEAR(Sheet1!$A713)</f>
        <v>2024</v>
      </c>
      <c r="J713" s="17">
        <f>DAY(Sheet1!$A713)</f>
        <v>23</v>
      </c>
      <c r="K713" s="18" t="s">
        <v>2023</v>
      </c>
      <c r="L713" s="19" t="str">
        <f t="shared" si="23"/>
        <v>Regular Customer</v>
      </c>
    </row>
    <row r="714" spans="1:12" ht="15.75" customHeight="1" x14ac:dyDescent="0.3">
      <c r="A714" s="7">
        <v>45586</v>
      </c>
      <c r="B714" s="8" t="s">
        <v>439</v>
      </c>
      <c r="C714" s="8" t="s">
        <v>13</v>
      </c>
      <c r="D714" s="8" t="s">
        <v>19</v>
      </c>
      <c r="E714" s="9">
        <v>23.46</v>
      </c>
      <c r="F714" s="8" t="s">
        <v>11</v>
      </c>
      <c r="G714" s="8">
        <v>23.46</v>
      </c>
      <c r="H714" s="10">
        <f t="shared" si="22"/>
        <v>10</v>
      </c>
      <c r="I714" s="10">
        <f>YEAR(Sheet1!$A714)</f>
        <v>2024</v>
      </c>
      <c r="J714" s="10">
        <f>DAY(Sheet1!$A714)</f>
        <v>21</v>
      </c>
      <c r="K714" s="12" t="s">
        <v>2022</v>
      </c>
      <c r="L714" s="13" t="str">
        <f t="shared" si="23"/>
        <v>Regular Customer</v>
      </c>
    </row>
    <row r="715" spans="1:12" ht="15.75" customHeight="1" x14ac:dyDescent="0.3">
      <c r="A715" s="14">
        <v>45721</v>
      </c>
      <c r="B715" s="15" t="s">
        <v>392</v>
      </c>
      <c r="C715" s="15" t="s">
        <v>13</v>
      </c>
      <c r="D715" s="15" t="s">
        <v>16</v>
      </c>
      <c r="E715" s="16">
        <v>7.83</v>
      </c>
      <c r="F715" s="15" t="s">
        <v>10</v>
      </c>
      <c r="G715" s="15">
        <v>23.49</v>
      </c>
      <c r="H715" s="17">
        <f t="shared" si="22"/>
        <v>3</v>
      </c>
      <c r="I715" s="17">
        <f>YEAR(Sheet1!$A715)</f>
        <v>2025</v>
      </c>
      <c r="J715" s="17">
        <f>DAY(Sheet1!$A715)</f>
        <v>5</v>
      </c>
      <c r="K715" s="18" t="s">
        <v>2022</v>
      </c>
      <c r="L715" s="19" t="str">
        <f t="shared" si="23"/>
        <v>Regular Customer</v>
      </c>
    </row>
    <row r="716" spans="1:12" ht="15.75" customHeight="1" x14ac:dyDescent="0.3">
      <c r="A716" s="7">
        <v>45686</v>
      </c>
      <c r="B716" s="8" t="s">
        <v>1371</v>
      </c>
      <c r="C716" s="8" t="s">
        <v>18</v>
      </c>
      <c r="D716" s="8" t="s">
        <v>19</v>
      </c>
      <c r="E716" s="9">
        <v>23.51</v>
      </c>
      <c r="F716" s="8" t="s">
        <v>10</v>
      </c>
      <c r="G716" s="8">
        <v>23.51</v>
      </c>
      <c r="H716" s="10">
        <f t="shared" si="22"/>
        <v>1</v>
      </c>
      <c r="I716" s="10">
        <f>YEAR(Sheet1!$A716)</f>
        <v>2025</v>
      </c>
      <c r="J716" s="10">
        <f>DAY(Sheet1!$A716)</f>
        <v>29</v>
      </c>
      <c r="K716" s="12" t="s">
        <v>2023</v>
      </c>
      <c r="L716" s="13" t="str">
        <f t="shared" si="23"/>
        <v>Regular Customer</v>
      </c>
    </row>
    <row r="717" spans="1:12" ht="15.75" customHeight="1" x14ac:dyDescent="0.3">
      <c r="A717" s="14">
        <v>45632</v>
      </c>
      <c r="B717" s="15" t="s">
        <v>1260</v>
      </c>
      <c r="C717" s="15" t="s">
        <v>8</v>
      </c>
      <c r="D717" s="15" t="s">
        <v>9</v>
      </c>
      <c r="E717" s="16">
        <v>23.52</v>
      </c>
      <c r="F717" s="15" t="s">
        <v>11</v>
      </c>
      <c r="G717" s="15">
        <v>23.52</v>
      </c>
      <c r="H717" s="17">
        <f t="shared" si="22"/>
        <v>12</v>
      </c>
      <c r="I717" s="17">
        <f>YEAR(Sheet1!$A717)</f>
        <v>2024</v>
      </c>
      <c r="J717" s="17">
        <f>DAY(Sheet1!$A717)</f>
        <v>6</v>
      </c>
      <c r="K717" s="18" t="s">
        <v>2022</v>
      </c>
      <c r="L717" s="19" t="str">
        <f t="shared" si="23"/>
        <v>Regular Customer</v>
      </c>
    </row>
    <row r="718" spans="1:12" ht="15.75" customHeight="1" x14ac:dyDescent="0.3">
      <c r="A718" s="7">
        <v>45725</v>
      </c>
      <c r="B718" s="8" t="s">
        <v>1728</v>
      </c>
      <c r="C718" s="8" t="s">
        <v>18</v>
      </c>
      <c r="D718" s="8" t="s">
        <v>9</v>
      </c>
      <c r="E718" s="9">
        <v>23.52</v>
      </c>
      <c r="F718" s="8" t="s">
        <v>10</v>
      </c>
      <c r="G718" s="8">
        <v>23.52</v>
      </c>
      <c r="H718" s="10">
        <f t="shared" si="22"/>
        <v>3</v>
      </c>
      <c r="I718" s="10">
        <f>YEAR(Sheet1!$A718)</f>
        <v>2025</v>
      </c>
      <c r="J718" s="10">
        <f>DAY(Sheet1!$A718)</f>
        <v>9</v>
      </c>
      <c r="K718" s="12" t="s">
        <v>2022</v>
      </c>
      <c r="L718" s="13" t="str">
        <f t="shared" si="23"/>
        <v>Regular Customer</v>
      </c>
    </row>
    <row r="719" spans="1:12" ht="15.75" customHeight="1" x14ac:dyDescent="0.3">
      <c r="A719" s="14">
        <v>45459</v>
      </c>
      <c r="B719" s="15" t="s">
        <v>1718</v>
      </c>
      <c r="C719" s="15" t="s">
        <v>8</v>
      </c>
      <c r="D719" s="15" t="s">
        <v>16</v>
      </c>
      <c r="E719" s="16">
        <v>23.55</v>
      </c>
      <c r="F719" s="15" t="s">
        <v>10</v>
      </c>
      <c r="G719" s="15">
        <v>23.55</v>
      </c>
      <c r="H719" s="17">
        <f t="shared" si="22"/>
        <v>6</v>
      </c>
      <c r="I719" s="17">
        <f>YEAR(Sheet1!$A719)</f>
        <v>2024</v>
      </c>
      <c r="J719" s="17">
        <f>DAY(Sheet1!$A719)</f>
        <v>16</v>
      </c>
      <c r="K719" s="18" t="s">
        <v>2022</v>
      </c>
      <c r="L719" s="19" t="str">
        <f t="shared" si="23"/>
        <v>Regular Customer</v>
      </c>
    </row>
    <row r="720" spans="1:12" ht="15.75" customHeight="1" x14ac:dyDescent="0.3">
      <c r="A720" s="7">
        <v>45742</v>
      </c>
      <c r="B720" s="8" t="s">
        <v>190</v>
      </c>
      <c r="C720" s="8" t="s">
        <v>8</v>
      </c>
      <c r="D720" s="8" t="s">
        <v>9</v>
      </c>
      <c r="E720" s="9">
        <v>11.78</v>
      </c>
      <c r="F720" s="8" t="s">
        <v>10</v>
      </c>
      <c r="G720" s="8">
        <v>23.56</v>
      </c>
      <c r="H720" s="10">
        <f t="shared" si="22"/>
        <v>3</v>
      </c>
      <c r="I720" s="10">
        <f>YEAR(Sheet1!$A720)</f>
        <v>2025</v>
      </c>
      <c r="J720" s="10">
        <f>DAY(Sheet1!$A720)</f>
        <v>26</v>
      </c>
      <c r="K720" s="12" t="s">
        <v>2023</v>
      </c>
      <c r="L720" s="13" t="str">
        <f t="shared" si="23"/>
        <v>Regular Customer</v>
      </c>
    </row>
    <row r="721" spans="1:12" ht="15.75" customHeight="1" x14ac:dyDescent="0.3">
      <c r="A721" s="14">
        <v>45542</v>
      </c>
      <c r="B721" s="15" t="s">
        <v>193</v>
      </c>
      <c r="C721" s="15" t="s">
        <v>18</v>
      </c>
      <c r="D721" s="15" t="s">
        <v>9</v>
      </c>
      <c r="E721" s="16">
        <v>23.59</v>
      </c>
      <c r="F721" s="15" t="s">
        <v>11</v>
      </c>
      <c r="G721" s="15">
        <v>23.59</v>
      </c>
      <c r="H721" s="17">
        <f t="shared" si="22"/>
        <v>9</v>
      </c>
      <c r="I721" s="17">
        <f>YEAR(Sheet1!$A721)</f>
        <v>2024</v>
      </c>
      <c r="J721" s="17">
        <f>DAY(Sheet1!$A721)</f>
        <v>7</v>
      </c>
      <c r="K721" s="18" t="s">
        <v>2022</v>
      </c>
      <c r="L721" s="19" t="str">
        <f t="shared" si="23"/>
        <v>Regular Customer</v>
      </c>
    </row>
    <row r="722" spans="1:12" ht="15.75" customHeight="1" x14ac:dyDescent="0.3">
      <c r="A722" s="7">
        <v>45574</v>
      </c>
      <c r="B722" s="8" t="s">
        <v>832</v>
      </c>
      <c r="C722" s="8" t="s">
        <v>13</v>
      </c>
      <c r="D722" s="8" t="s">
        <v>19</v>
      </c>
      <c r="E722" s="9">
        <v>23.59</v>
      </c>
      <c r="F722" s="8" t="s">
        <v>10</v>
      </c>
      <c r="G722" s="8">
        <v>23.59</v>
      </c>
      <c r="H722" s="10">
        <f t="shared" si="22"/>
        <v>10</v>
      </c>
      <c r="I722" s="10">
        <f>YEAR(Sheet1!$A722)</f>
        <v>2024</v>
      </c>
      <c r="J722" s="10">
        <f>DAY(Sheet1!$A722)</f>
        <v>9</v>
      </c>
      <c r="K722" s="12" t="s">
        <v>2023</v>
      </c>
      <c r="L722" s="13" t="str">
        <f t="shared" si="23"/>
        <v>Regular Customer</v>
      </c>
    </row>
    <row r="723" spans="1:12" ht="15.75" customHeight="1" x14ac:dyDescent="0.3">
      <c r="A723" s="14">
        <v>45666</v>
      </c>
      <c r="B723" s="15" t="s">
        <v>1282</v>
      </c>
      <c r="C723" s="15" t="s">
        <v>8</v>
      </c>
      <c r="D723" s="15" t="s">
        <v>19</v>
      </c>
      <c r="E723" s="16">
        <v>7.87</v>
      </c>
      <c r="F723" s="15" t="s">
        <v>10</v>
      </c>
      <c r="G723" s="15">
        <v>23.61</v>
      </c>
      <c r="H723" s="17">
        <f t="shared" si="22"/>
        <v>1</v>
      </c>
      <c r="I723" s="17">
        <f>YEAR(Sheet1!$A723)</f>
        <v>2025</v>
      </c>
      <c r="J723" s="17">
        <f>DAY(Sheet1!$A723)</f>
        <v>9</v>
      </c>
      <c r="K723" s="18" t="s">
        <v>2022</v>
      </c>
      <c r="L723" s="19" t="str">
        <f t="shared" si="23"/>
        <v>Regular Customer</v>
      </c>
    </row>
    <row r="724" spans="1:12" ht="15.75" customHeight="1" x14ac:dyDescent="0.3">
      <c r="A724" s="7">
        <v>45630</v>
      </c>
      <c r="B724" s="8" t="s">
        <v>1777</v>
      </c>
      <c r="C724" s="8" t="s">
        <v>18</v>
      </c>
      <c r="D724" s="8" t="s">
        <v>9</v>
      </c>
      <c r="E724" s="9">
        <v>23.62</v>
      </c>
      <c r="F724" s="8" t="s">
        <v>10</v>
      </c>
      <c r="G724" s="8">
        <v>23.62</v>
      </c>
      <c r="H724" s="10">
        <f t="shared" si="22"/>
        <v>12</v>
      </c>
      <c r="I724" s="10">
        <f>YEAR(Sheet1!$A724)</f>
        <v>2024</v>
      </c>
      <c r="J724" s="10">
        <f>DAY(Sheet1!$A724)</f>
        <v>4</v>
      </c>
      <c r="K724" s="12" t="s">
        <v>2023</v>
      </c>
      <c r="L724" s="13" t="str">
        <f t="shared" si="23"/>
        <v>Regular Customer</v>
      </c>
    </row>
    <row r="725" spans="1:12" ht="15.75" customHeight="1" x14ac:dyDescent="0.3">
      <c r="A725" s="14">
        <v>45510</v>
      </c>
      <c r="B725" s="15" t="s">
        <v>394</v>
      </c>
      <c r="C725" s="15" t="s">
        <v>24</v>
      </c>
      <c r="D725" s="15" t="s">
        <v>16</v>
      </c>
      <c r="E725" s="16">
        <v>11.86</v>
      </c>
      <c r="F725" s="15" t="s">
        <v>10</v>
      </c>
      <c r="G725" s="15">
        <v>23.72</v>
      </c>
      <c r="H725" s="17">
        <f t="shared" si="22"/>
        <v>8</v>
      </c>
      <c r="I725" s="17">
        <f>YEAR(Sheet1!$A725)</f>
        <v>2024</v>
      </c>
      <c r="J725" s="17">
        <f>DAY(Sheet1!$A725)</f>
        <v>6</v>
      </c>
      <c r="K725" s="18" t="s">
        <v>2023</v>
      </c>
      <c r="L725" s="19" t="str">
        <f t="shared" si="23"/>
        <v>Regular Customer</v>
      </c>
    </row>
    <row r="726" spans="1:12" ht="15.75" customHeight="1" x14ac:dyDescent="0.3">
      <c r="A726" s="7">
        <v>45536</v>
      </c>
      <c r="B726" s="8" t="s">
        <v>1775</v>
      </c>
      <c r="C726" s="8" t="s">
        <v>18</v>
      </c>
      <c r="D726" s="8" t="s">
        <v>14</v>
      </c>
      <c r="E726" s="9">
        <v>23.75</v>
      </c>
      <c r="F726" s="8" t="s">
        <v>11</v>
      </c>
      <c r="G726" s="8">
        <v>23.75</v>
      </c>
      <c r="H726" s="10">
        <f t="shared" si="22"/>
        <v>9</v>
      </c>
      <c r="I726" s="10">
        <f>YEAR(Sheet1!$A726)</f>
        <v>2024</v>
      </c>
      <c r="J726" s="10">
        <f>DAY(Sheet1!$A726)</f>
        <v>1</v>
      </c>
      <c r="K726" s="12" t="s">
        <v>2022</v>
      </c>
      <c r="L726" s="13" t="str">
        <f t="shared" si="23"/>
        <v>Regular Customer</v>
      </c>
    </row>
    <row r="727" spans="1:12" ht="15.75" customHeight="1" x14ac:dyDescent="0.3">
      <c r="A727" s="14">
        <v>45441</v>
      </c>
      <c r="B727" s="15" t="s">
        <v>1124</v>
      </c>
      <c r="C727" s="15" t="s">
        <v>8</v>
      </c>
      <c r="D727" s="15" t="s">
        <v>16</v>
      </c>
      <c r="E727" s="16">
        <v>11.88</v>
      </c>
      <c r="F727" s="15" t="s">
        <v>11</v>
      </c>
      <c r="G727" s="15">
        <v>23.76</v>
      </c>
      <c r="H727" s="17">
        <f t="shared" si="22"/>
        <v>5</v>
      </c>
      <c r="I727" s="17">
        <f>YEAR(Sheet1!$A727)</f>
        <v>2024</v>
      </c>
      <c r="J727" s="17">
        <f>DAY(Sheet1!$A727)</f>
        <v>29</v>
      </c>
      <c r="K727" s="18" t="s">
        <v>2023</v>
      </c>
      <c r="L727" s="19" t="str">
        <f t="shared" si="23"/>
        <v>Regular Customer</v>
      </c>
    </row>
    <row r="728" spans="1:12" ht="15.75" customHeight="1" x14ac:dyDescent="0.3">
      <c r="A728" s="7">
        <v>45453</v>
      </c>
      <c r="B728" s="8" t="s">
        <v>1240</v>
      </c>
      <c r="C728" s="8" t="s">
        <v>18</v>
      </c>
      <c r="D728" s="8" t="s">
        <v>9</v>
      </c>
      <c r="E728" s="9">
        <v>7.92</v>
      </c>
      <c r="F728" s="8" t="s">
        <v>11</v>
      </c>
      <c r="G728" s="8">
        <v>23.76</v>
      </c>
      <c r="H728" s="10">
        <f t="shared" si="22"/>
        <v>6</v>
      </c>
      <c r="I728" s="10">
        <f>YEAR(Sheet1!$A728)</f>
        <v>2024</v>
      </c>
      <c r="J728" s="10">
        <f>DAY(Sheet1!$A728)</f>
        <v>10</v>
      </c>
      <c r="K728" s="12" t="s">
        <v>2023</v>
      </c>
      <c r="L728" s="13" t="str">
        <f t="shared" si="23"/>
        <v>Regular Customer</v>
      </c>
    </row>
    <row r="729" spans="1:12" ht="15.75" customHeight="1" x14ac:dyDescent="0.3">
      <c r="A729" s="14">
        <v>45460</v>
      </c>
      <c r="B729" s="15" t="s">
        <v>1299</v>
      </c>
      <c r="C729" s="15" t="s">
        <v>18</v>
      </c>
      <c r="D729" s="15" t="s">
        <v>9</v>
      </c>
      <c r="E729" s="16">
        <v>7.92</v>
      </c>
      <c r="F729" s="15" t="s">
        <v>11</v>
      </c>
      <c r="G729" s="15">
        <v>23.76</v>
      </c>
      <c r="H729" s="17">
        <f t="shared" si="22"/>
        <v>6</v>
      </c>
      <c r="I729" s="17">
        <f>YEAR(Sheet1!$A729)</f>
        <v>2024</v>
      </c>
      <c r="J729" s="17">
        <f>DAY(Sheet1!$A729)</f>
        <v>17</v>
      </c>
      <c r="K729" s="18" t="s">
        <v>2022</v>
      </c>
      <c r="L729" s="19" t="str">
        <f t="shared" si="23"/>
        <v>Regular Customer</v>
      </c>
    </row>
    <row r="730" spans="1:12" ht="15.75" customHeight="1" x14ac:dyDescent="0.3">
      <c r="A730" s="7">
        <v>45662</v>
      </c>
      <c r="B730" s="8" t="s">
        <v>581</v>
      </c>
      <c r="C730" s="8" t="s">
        <v>24</v>
      </c>
      <c r="D730" s="8" t="s">
        <v>16</v>
      </c>
      <c r="E730" s="9">
        <v>7.92</v>
      </c>
      <c r="F730" s="8" t="s">
        <v>11</v>
      </c>
      <c r="G730" s="8">
        <v>23.76</v>
      </c>
      <c r="H730" s="10">
        <f t="shared" si="22"/>
        <v>1</v>
      </c>
      <c r="I730" s="10">
        <f>YEAR(Sheet1!$A730)</f>
        <v>2025</v>
      </c>
      <c r="J730" s="10">
        <f>DAY(Sheet1!$A730)</f>
        <v>5</v>
      </c>
      <c r="K730" s="12" t="s">
        <v>2022</v>
      </c>
      <c r="L730" s="13" t="str">
        <f t="shared" si="23"/>
        <v>Regular Customer</v>
      </c>
    </row>
    <row r="731" spans="1:12" ht="15.75" customHeight="1" x14ac:dyDescent="0.3">
      <c r="A731" s="14">
        <v>45426</v>
      </c>
      <c r="B731" s="15" t="s">
        <v>417</v>
      </c>
      <c r="C731" s="15" t="s">
        <v>18</v>
      </c>
      <c r="D731" s="15" t="s">
        <v>16</v>
      </c>
      <c r="E731" s="16">
        <v>23.8</v>
      </c>
      <c r="F731" s="15" t="s">
        <v>10</v>
      </c>
      <c r="G731" s="15">
        <v>23.8</v>
      </c>
      <c r="H731" s="17">
        <f t="shared" si="22"/>
        <v>5</v>
      </c>
      <c r="I731" s="17">
        <f>YEAR(Sheet1!$A731)</f>
        <v>2024</v>
      </c>
      <c r="J731" s="17">
        <f>DAY(Sheet1!$A731)</f>
        <v>14</v>
      </c>
      <c r="K731" s="18" t="s">
        <v>2022</v>
      </c>
      <c r="L731" s="19" t="str">
        <f t="shared" si="23"/>
        <v>Regular Customer</v>
      </c>
    </row>
    <row r="732" spans="1:12" ht="15.75" customHeight="1" x14ac:dyDescent="0.3">
      <c r="A732" s="7">
        <v>45519</v>
      </c>
      <c r="B732" s="8" t="s">
        <v>644</v>
      </c>
      <c r="C732" s="8" t="s">
        <v>24</v>
      </c>
      <c r="D732" s="8" t="s">
        <v>9</v>
      </c>
      <c r="E732" s="9">
        <v>7.94</v>
      </c>
      <c r="F732" s="8" t="s">
        <v>11</v>
      </c>
      <c r="G732" s="8">
        <v>23.82</v>
      </c>
      <c r="H732" s="10">
        <f t="shared" si="22"/>
        <v>8</v>
      </c>
      <c r="I732" s="10">
        <f>YEAR(Sheet1!$A732)</f>
        <v>2024</v>
      </c>
      <c r="J732" s="10">
        <f>DAY(Sheet1!$A732)</f>
        <v>15</v>
      </c>
      <c r="K732" s="12" t="s">
        <v>2022</v>
      </c>
      <c r="L732" s="13" t="str">
        <f t="shared" si="23"/>
        <v>Regular Customer</v>
      </c>
    </row>
    <row r="733" spans="1:12" ht="15.75" customHeight="1" x14ac:dyDescent="0.3">
      <c r="A733" s="14">
        <v>45737</v>
      </c>
      <c r="B733" s="15" t="s">
        <v>1399</v>
      </c>
      <c r="C733" s="15" t="s">
        <v>24</v>
      </c>
      <c r="D733" s="15" t="s">
        <v>14</v>
      </c>
      <c r="E733" s="16">
        <v>11.91</v>
      </c>
      <c r="F733" s="15" t="s">
        <v>11</v>
      </c>
      <c r="G733" s="15">
        <v>23.82</v>
      </c>
      <c r="H733" s="17">
        <f t="shared" si="22"/>
        <v>3</v>
      </c>
      <c r="I733" s="17">
        <f>YEAR(Sheet1!$A733)</f>
        <v>2025</v>
      </c>
      <c r="J733" s="17">
        <f>DAY(Sheet1!$A733)</f>
        <v>21</v>
      </c>
      <c r="K733" s="18" t="s">
        <v>2023</v>
      </c>
      <c r="L733" s="19" t="str">
        <f t="shared" si="23"/>
        <v>Regular Customer</v>
      </c>
    </row>
    <row r="734" spans="1:12" ht="15.75" customHeight="1" x14ac:dyDescent="0.3">
      <c r="A734" s="7">
        <v>45416</v>
      </c>
      <c r="B734" s="8" t="s">
        <v>1077</v>
      </c>
      <c r="C734" s="8" t="s">
        <v>8</v>
      </c>
      <c r="D734" s="8" t="s">
        <v>14</v>
      </c>
      <c r="E734" s="9">
        <v>23.84</v>
      </c>
      <c r="F734" s="8" t="s">
        <v>10</v>
      </c>
      <c r="G734" s="8">
        <v>23.84</v>
      </c>
      <c r="H734" s="10">
        <f t="shared" si="22"/>
        <v>5</v>
      </c>
      <c r="I734" s="10">
        <f>YEAR(Sheet1!$A734)</f>
        <v>2024</v>
      </c>
      <c r="J734" s="10">
        <f>DAY(Sheet1!$A734)</f>
        <v>4</v>
      </c>
      <c r="K734" s="12" t="s">
        <v>2022</v>
      </c>
      <c r="L734" s="13" t="str">
        <f t="shared" si="23"/>
        <v>Regular Customer</v>
      </c>
    </row>
    <row r="735" spans="1:12" ht="15.75" customHeight="1" x14ac:dyDescent="0.3">
      <c r="A735" s="14">
        <v>45771</v>
      </c>
      <c r="B735" s="15" t="s">
        <v>310</v>
      </c>
      <c r="C735" s="15" t="s">
        <v>24</v>
      </c>
      <c r="D735" s="15" t="s">
        <v>9</v>
      </c>
      <c r="E735" s="16">
        <v>7.96</v>
      </c>
      <c r="F735" s="15" t="s">
        <v>10</v>
      </c>
      <c r="G735" s="15">
        <v>23.88</v>
      </c>
      <c r="H735" s="17">
        <f t="shared" si="22"/>
        <v>4</v>
      </c>
      <c r="I735" s="17">
        <f>YEAR(Sheet1!$A735)</f>
        <v>2025</v>
      </c>
      <c r="J735" s="17">
        <f>DAY(Sheet1!$A735)</f>
        <v>24</v>
      </c>
      <c r="K735" s="18" t="s">
        <v>2023</v>
      </c>
      <c r="L735" s="19" t="str">
        <f t="shared" si="23"/>
        <v>Regular Customer</v>
      </c>
    </row>
    <row r="736" spans="1:12" ht="15.75" customHeight="1" x14ac:dyDescent="0.3">
      <c r="A736" s="7">
        <v>45485</v>
      </c>
      <c r="B736" s="8" t="s">
        <v>1579</v>
      </c>
      <c r="C736" s="8" t="s">
        <v>18</v>
      </c>
      <c r="D736" s="8" t="s">
        <v>16</v>
      </c>
      <c r="E736" s="9">
        <v>7.98</v>
      </c>
      <c r="F736" s="8" t="s">
        <v>10</v>
      </c>
      <c r="G736" s="8">
        <v>23.94</v>
      </c>
      <c r="H736" s="10">
        <f t="shared" si="22"/>
        <v>7</v>
      </c>
      <c r="I736" s="10">
        <f>YEAR(Sheet1!$A736)</f>
        <v>2024</v>
      </c>
      <c r="J736" s="10">
        <f>DAY(Sheet1!$A736)</f>
        <v>12</v>
      </c>
      <c r="K736" s="12" t="s">
        <v>2022</v>
      </c>
      <c r="L736" s="13" t="str">
        <f t="shared" si="23"/>
        <v>Regular Customer</v>
      </c>
    </row>
    <row r="737" spans="1:12" ht="15.75" customHeight="1" x14ac:dyDescent="0.3">
      <c r="A737" s="14">
        <v>45501</v>
      </c>
      <c r="B737" s="15" t="s">
        <v>348</v>
      </c>
      <c r="C737" s="15" t="s">
        <v>18</v>
      </c>
      <c r="D737" s="15" t="s">
        <v>19</v>
      </c>
      <c r="E737" s="16">
        <v>23.97</v>
      </c>
      <c r="F737" s="15" t="s">
        <v>11</v>
      </c>
      <c r="G737" s="15">
        <v>23.97</v>
      </c>
      <c r="H737" s="17">
        <f t="shared" si="22"/>
        <v>7</v>
      </c>
      <c r="I737" s="17">
        <f>YEAR(Sheet1!$A737)</f>
        <v>2024</v>
      </c>
      <c r="J737" s="17">
        <f>DAY(Sheet1!$A737)</f>
        <v>28</v>
      </c>
      <c r="K737" s="18" t="s">
        <v>2023</v>
      </c>
      <c r="L737" s="19" t="str">
        <f t="shared" si="23"/>
        <v>Regular Customer</v>
      </c>
    </row>
    <row r="738" spans="1:12" ht="15.75" customHeight="1" x14ac:dyDescent="0.3">
      <c r="A738" s="7">
        <v>45584</v>
      </c>
      <c r="B738" s="8" t="s">
        <v>1413</v>
      </c>
      <c r="C738" s="8" t="s">
        <v>8</v>
      </c>
      <c r="D738" s="8" t="s">
        <v>16</v>
      </c>
      <c r="E738" s="9">
        <v>8</v>
      </c>
      <c r="F738" s="8" t="s">
        <v>10</v>
      </c>
      <c r="G738" s="8">
        <v>24</v>
      </c>
      <c r="H738" s="10">
        <f t="shared" si="22"/>
        <v>10</v>
      </c>
      <c r="I738" s="10">
        <f>YEAR(Sheet1!$A738)</f>
        <v>2024</v>
      </c>
      <c r="J738" s="10">
        <f>DAY(Sheet1!$A738)</f>
        <v>19</v>
      </c>
      <c r="K738" s="12" t="s">
        <v>2022</v>
      </c>
      <c r="L738" s="13" t="str">
        <f t="shared" si="23"/>
        <v>Regular Customer</v>
      </c>
    </row>
    <row r="739" spans="1:12" ht="15.75" customHeight="1" x14ac:dyDescent="0.3">
      <c r="A739" s="14">
        <v>45630</v>
      </c>
      <c r="B739" s="15" t="s">
        <v>1686</v>
      </c>
      <c r="C739" s="15" t="s">
        <v>8</v>
      </c>
      <c r="D739" s="15" t="s">
        <v>19</v>
      </c>
      <c r="E739" s="16">
        <v>12</v>
      </c>
      <c r="F739" s="15" t="s">
        <v>10</v>
      </c>
      <c r="G739" s="15">
        <v>24</v>
      </c>
      <c r="H739" s="17">
        <f t="shared" si="22"/>
        <v>12</v>
      </c>
      <c r="I739" s="17">
        <f>YEAR(Sheet1!$A739)</f>
        <v>2024</v>
      </c>
      <c r="J739" s="17">
        <f>DAY(Sheet1!$A739)</f>
        <v>4</v>
      </c>
      <c r="K739" s="18" t="s">
        <v>2022</v>
      </c>
      <c r="L739" s="19" t="str">
        <f t="shared" si="23"/>
        <v>Regular Customer</v>
      </c>
    </row>
    <row r="740" spans="1:12" ht="15.75" customHeight="1" x14ac:dyDescent="0.3">
      <c r="A740" s="7">
        <v>45543</v>
      </c>
      <c r="B740" s="8" t="s">
        <v>1115</v>
      </c>
      <c r="C740" s="8" t="s">
        <v>18</v>
      </c>
      <c r="D740" s="8" t="s">
        <v>14</v>
      </c>
      <c r="E740" s="9">
        <v>24.02</v>
      </c>
      <c r="F740" s="8" t="s">
        <v>10</v>
      </c>
      <c r="G740" s="8">
        <v>24.02</v>
      </c>
      <c r="H740" s="10">
        <f t="shared" si="22"/>
        <v>9</v>
      </c>
      <c r="I740" s="10">
        <f>YEAR(Sheet1!$A740)</f>
        <v>2024</v>
      </c>
      <c r="J740" s="10">
        <f>DAY(Sheet1!$A740)</f>
        <v>8</v>
      </c>
      <c r="K740" s="12" t="s">
        <v>2023</v>
      </c>
      <c r="L740" s="13" t="str">
        <f t="shared" si="23"/>
        <v>Regular Customer</v>
      </c>
    </row>
    <row r="741" spans="1:12" ht="15.75" customHeight="1" x14ac:dyDescent="0.3">
      <c r="A741" s="14">
        <v>45505</v>
      </c>
      <c r="B741" s="15" t="s">
        <v>127</v>
      </c>
      <c r="C741" s="15" t="s">
        <v>18</v>
      </c>
      <c r="D741" s="15" t="s">
        <v>9</v>
      </c>
      <c r="E741" s="16">
        <v>24.05</v>
      </c>
      <c r="F741" s="15" t="s">
        <v>10</v>
      </c>
      <c r="G741" s="15">
        <v>24.05</v>
      </c>
      <c r="H741" s="17">
        <f t="shared" si="22"/>
        <v>8</v>
      </c>
      <c r="I741" s="17">
        <f>YEAR(Sheet1!$A741)</f>
        <v>2024</v>
      </c>
      <c r="J741" s="17">
        <f>DAY(Sheet1!$A741)</f>
        <v>1</v>
      </c>
      <c r="K741" s="18" t="s">
        <v>2022</v>
      </c>
      <c r="L741" s="19" t="str">
        <f t="shared" si="23"/>
        <v>Regular Customer</v>
      </c>
    </row>
    <row r="742" spans="1:12" ht="15.75" customHeight="1" x14ac:dyDescent="0.3">
      <c r="A742" s="7">
        <v>45607</v>
      </c>
      <c r="B742" s="8" t="s">
        <v>510</v>
      </c>
      <c r="C742" s="8" t="s">
        <v>13</v>
      </c>
      <c r="D742" s="8" t="s">
        <v>19</v>
      </c>
      <c r="E742" s="9">
        <v>12.03</v>
      </c>
      <c r="F742" s="8" t="s">
        <v>10</v>
      </c>
      <c r="G742" s="8">
        <v>24.06</v>
      </c>
      <c r="H742" s="10">
        <f t="shared" si="22"/>
        <v>11</v>
      </c>
      <c r="I742" s="10">
        <f>YEAR(Sheet1!$A742)</f>
        <v>2024</v>
      </c>
      <c r="J742" s="10">
        <f>DAY(Sheet1!$A742)</f>
        <v>11</v>
      </c>
      <c r="K742" s="12" t="s">
        <v>2022</v>
      </c>
      <c r="L742" s="13" t="str">
        <f t="shared" si="23"/>
        <v>Regular Customer</v>
      </c>
    </row>
    <row r="743" spans="1:12" ht="15.75" customHeight="1" x14ac:dyDescent="0.3">
      <c r="A743" s="14">
        <v>45651</v>
      </c>
      <c r="B743" s="15" t="s">
        <v>1614</v>
      </c>
      <c r="C743" s="15" t="s">
        <v>24</v>
      </c>
      <c r="D743" s="15" t="s">
        <v>16</v>
      </c>
      <c r="E743" s="16">
        <v>12.04</v>
      </c>
      <c r="F743" s="15" t="s">
        <v>10</v>
      </c>
      <c r="G743" s="15">
        <v>24.08</v>
      </c>
      <c r="H743" s="17">
        <f t="shared" si="22"/>
        <v>12</v>
      </c>
      <c r="I743" s="17">
        <f>YEAR(Sheet1!$A743)</f>
        <v>2024</v>
      </c>
      <c r="J743" s="17">
        <f>DAY(Sheet1!$A743)</f>
        <v>25</v>
      </c>
      <c r="K743" s="18" t="s">
        <v>2022</v>
      </c>
      <c r="L743" s="19" t="str">
        <f t="shared" si="23"/>
        <v>Regular Customer</v>
      </c>
    </row>
    <row r="744" spans="1:12" ht="15.75" customHeight="1" x14ac:dyDescent="0.3">
      <c r="A744" s="7">
        <v>45626</v>
      </c>
      <c r="B744" s="8" t="s">
        <v>1353</v>
      </c>
      <c r="C744" s="8" t="s">
        <v>24</v>
      </c>
      <c r="D744" s="8" t="s">
        <v>19</v>
      </c>
      <c r="E744" s="9">
        <v>24.11</v>
      </c>
      <c r="F744" s="8" t="s">
        <v>10</v>
      </c>
      <c r="G744" s="8">
        <v>24.11</v>
      </c>
      <c r="H744" s="10">
        <f t="shared" si="22"/>
        <v>11</v>
      </c>
      <c r="I744" s="10">
        <f>YEAR(Sheet1!$A744)</f>
        <v>2024</v>
      </c>
      <c r="J744" s="10">
        <f>DAY(Sheet1!$A744)</f>
        <v>30</v>
      </c>
      <c r="K744" s="12" t="s">
        <v>2022</v>
      </c>
      <c r="L744" s="13" t="str">
        <f t="shared" si="23"/>
        <v>Regular Customer</v>
      </c>
    </row>
    <row r="745" spans="1:12" ht="15.75" customHeight="1" x14ac:dyDescent="0.3">
      <c r="A745" s="14">
        <v>45716</v>
      </c>
      <c r="B745" s="15" t="s">
        <v>1646</v>
      </c>
      <c r="C745" s="15" t="s">
        <v>24</v>
      </c>
      <c r="D745" s="15" t="s">
        <v>9</v>
      </c>
      <c r="E745" s="16">
        <v>24.12</v>
      </c>
      <c r="F745" s="15" t="s">
        <v>10</v>
      </c>
      <c r="G745" s="15">
        <v>24.12</v>
      </c>
      <c r="H745" s="17">
        <f t="shared" si="22"/>
        <v>2</v>
      </c>
      <c r="I745" s="17">
        <f>YEAR(Sheet1!$A745)</f>
        <v>2025</v>
      </c>
      <c r="J745" s="17">
        <f>DAY(Sheet1!$A745)</f>
        <v>28</v>
      </c>
      <c r="K745" s="18" t="s">
        <v>2023</v>
      </c>
      <c r="L745" s="19" t="str">
        <f t="shared" si="23"/>
        <v>Regular Customer</v>
      </c>
    </row>
    <row r="746" spans="1:12" ht="15.75" customHeight="1" x14ac:dyDescent="0.3">
      <c r="A746" s="7">
        <v>45725</v>
      </c>
      <c r="B746" s="8" t="s">
        <v>1906</v>
      </c>
      <c r="C746" s="8" t="s">
        <v>18</v>
      </c>
      <c r="D746" s="8" t="s">
        <v>16</v>
      </c>
      <c r="E746" s="9">
        <v>8.0399999999999991</v>
      </c>
      <c r="F746" s="8" t="s">
        <v>11</v>
      </c>
      <c r="G746" s="8">
        <v>24.12</v>
      </c>
      <c r="H746" s="10">
        <f t="shared" si="22"/>
        <v>3</v>
      </c>
      <c r="I746" s="10">
        <f>YEAR(Sheet1!$A746)</f>
        <v>2025</v>
      </c>
      <c r="J746" s="10">
        <f>DAY(Sheet1!$A746)</f>
        <v>9</v>
      </c>
      <c r="K746" s="12" t="s">
        <v>2022</v>
      </c>
      <c r="L746" s="13" t="str">
        <f t="shared" si="23"/>
        <v>Regular Customer</v>
      </c>
    </row>
    <row r="747" spans="1:12" ht="15.75" customHeight="1" x14ac:dyDescent="0.3">
      <c r="A747" s="14">
        <v>45623</v>
      </c>
      <c r="B747" s="15" t="s">
        <v>1741</v>
      </c>
      <c r="C747" s="15" t="s">
        <v>13</v>
      </c>
      <c r="D747" s="15" t="s">
        <v>19</v>
      </c>
      <c r="E747" s="16">
        <v>24.15</v>
      </c>
      <c r="F747" s="15" t="s">
        <v>11</v>
      </c>
      <c r="G747" s="15">
        <v>24.15</v>
      </c>
      <c r="H747" s="17">
        <f t="shared" si="22"/>
        <v>11</v>
      </c>
      <c r="I747" s="17">
        <f>YEAR(Sheet1!$A747)</f>
        <v>2024</v>
      </c>
      <c r="J747" s="17">
        <f>DAY(Sheet1!$A747)</f>
        <v>27</v>
      </c>
      <c r="K747" s="18" t="s">
        <v>2022</v>
      </c>
      <c r="L747" s="19" t="str">
        <f t="shared" si="23"/>
        <v>Regular Customer</v>
      </c>
    </row>
    <row r="748" spans="1:12" ht="15.75" customHeight="1" x14ac:dyDescent="0.3">
      <c r="A748" s="7">
        <v>45492</v>
      </c>
      <c r="B748" s="8" t="s">
        <v>1535</v>
      </c>
      <c r="C748" s="8" t="s">
        <v>13</v>
      </c>
      <c r="D748" s="8" t="s">
        <v>16</v>
      </c>
      <c r="E748" s="9">
        <v>24.16</v>
      </c>
      <c r="F748" s="8" t="s">
        <v>11</v>
      </c>
      <c r="G748" s="8">
        <v>24.16</v>
      </c>
      <c r="H748" s="10">
        <f t="shared" si="22"/>
        <v>7</v>
      </c>
      <c r="I748" s="10">
        <f>YEAR(Sheet1!$A748)</f>
        <v>2024</v>
      </c>
      <c r="J748" s="10">
        <f>DAY(Sheet1!$A748)</f>
        <v>19</v>
      </c>
      <c r="K748" s="12" t="s">
        <v>2022</v>
      </c>
      <c r="L748" s="13" t="str">
        <f t="shared" si="23"/>
        <v>Regular Customer</v>
      </c>
    </row>
    <row r="749" spans="1:12" ht="15.75" customHeight="1" x14ac:dyDescent="0.3">
      <c r="A749" s="14">
        <v>45699</v>
      </c>
      <c r="B749" s="15" t="s">
        <v>1495</v>
      </c>
      <c r="C749" s="15" t="s">
        <v>8</v>
      </c>
      <c r="D749" s="15" t="s">
        <v>9</v>
      </c>
      <c r="E749" s="16">
        <v>12.1</v>
      </c>
      <c r="F749" s="15" t="s">
        <v>11</v>
      </c>
      <c r="G749" s="15">
        <v>24.2</v>
      </c>
      <c r="H749" s="17">
        <f t="shared" si="22"/>
        <v>2</v>
      </c>
      <c r="I749" s="17">
        <f>YEAR(Sheet1!$A749)</f>
        <v>2025</v>
      </c>
      <c r="J749" s="17">
        <f>DAY(Sheet1!$A749)</f>
        <v>11</v>
      </c>
      <c r="K749" s="18" t="s">
        <v>2023</v>
      </c>
      <c r="L749" s="19" t="str">
        <f t="shared" si="23"/>
        <v>Regular Customer</v>
      </c>
    </row>
    <row r="750" spans="1:12" ht="15.75" customHeight="1" x14ac:dyDescent="0.3">
      <c r="A750" s="7">
        <v>45703</v>
      </c>
      <c r="B750" s="8" t="s">
        <v>210</v>
      </c>
      <c r="C750" s="8" t="s">
        <v>8</v>
      </c>
      <c r="D750" s="8" t="s">
        <v>14</v>
      </c>
      <c r="E750" s="9">
        <v>24.22</v>
      </c>
      <c r="F750" s="8" t="s">
        <v>10</v>
      </c>
      <c r="G750" s="8">
        <v>24.22</v>
      </c>
      <c r="H750" s="10">
        <f t="shared" si="22"/>
        <v>2</v>
      </c>
      <c r="I750" s="10">
        <f>YEAR(Sheet1!$A750)</f>
        <v>2025</v>
      </c>
      <c r="J750" s="10">
        <f>DAY(Sheet1!$A750)</f>
        <v>15</v>
      </c>
      <c r="K750" s="12" t="s">
        <v>2022</v>
      </c>
      <c r="L750" s="13" t="str">
        <f t="shared" si="23"/>
        <v>Regular Customer</v>
      </c>
    </row>
    <row r="751" spans="1:12" ht="15.75" customHeight="1" x14ac:dyDescent="0.3">
      <c r="A751" s="14">
        <v>45645</v>
      </c>
      <c r="B751" s="15" t="s">
        <v>930</v>
      </c>
      <c r="C751" s="15" t="s">
        <v>13</v>
      </c>
      <c r="D751" s="15" t="s">
        <v>19</v>
      </c>
      <c r="E751" s="16">
        <v>24.24</v>
      </c>
      <c r="F751" s="15" t="s">
        <v>10</v>
      </c>
      <c r="G751" s="15">
        <v>24.24</v>
      </c>
      <c r="H751" s="17">
        <f t="shared" si="22"/>
        <v>12</v>
      </c>
      <c r="I751" s="17">
        <f>YEAR(Sheet1!$A751)</f>
        <v>2024</v>
      </c>
      <c r="J751" s="17">
        <f>DAY(Sheet1!$A751)</f>
        <v>19</v>
      </c>
      <c r="K751" s="18" t="s">
        <v>2023</v>
      </c>
      <c r="L751" s="19" t="str">
        <f t="shared" si="23"/>
        <v>Regular Customer</v>
      </c>
    </row>
    <row r="752" spans="1:12" ht="15.75" customHeight="1" x14ac:dyDescent="0.3">
      <c r="A752" s="7">
        <v>45778</v>
      </c>
      <c r="B752" s="8" t="s">
        <v>1591</v>
      </c>
      <c r="C752" s="8" t="s">
        <v>24</v>
      </c>
      <c r="D752" s="8" t="s">
        <v>9</v>
      </c>
      <c r="E752" s="9">
        <v>24.24</v>
      </c>
      <c r="F752" s="8" t="s">
        <v>11</v>
      </c>
      <c r="G752" s="8">
        <v>24.24</v>
      </c>
      <c r="H752" s="10">
        <f t="shared" si="22"/>
        <v>5</v>
      </c>
      <c r="I752" s="10">
        <f>YEAR(Sheet1!$A752)</f>
        <v>2025</v>
      </c>
      <c r="J752" s="10">
        <f>DAY(Sheet1!$A752)</f>
        <v>1</v>
      </c>
      <c r="K752" s="12" t="s">
        <v>2023</v>
      </c>
      <c r="L752" s="13" t="str">
        <f t="shared" si="23"/>
        <v>Regular Customer</v>
      </c>
    </row>
    <row r="753" spans="1:12" ht="15.75" customHeight="1" x14ac:dyDescent="0.3">
      <c r="A753" s="14">
        <v>45721</v>
      </c>
      <c r="B753" s="15" t="s">
        <v>222</v>
      </c>
      <c r="C753" s="15" t="s">
        <v>24</v>
      </c>
      <c r="D753" s="15" t="s">
        <v>9</v>
      </c>
      <c r="E753" s="16">
        <v>24.25</v>
      </c>
      <c r="F753" s="15" t="s">
        <v>11</v>
      </c>
      <c r="G753" s="15">
        <v>24.25</v>
      </c>
      <c r="H753" s="17">
        <f t="shared" si="22"/>
        <v>3</v>
      </c>
      <c r="I753" s="17">
        <f>YEAR(Sheet1!$A753)</f>
        <v>2025</v>
      </c>
      <c r="J753" s="17">
        <f>DAY(Sheet1!$A753)</f>
        <v>5</v>
      </c>
      <c r="K753" s="18" t="s">
        <v>2022</v>
      </c>
      <c r="L753" s="19" t="str">
        <f t="shared" si="23"/>
        <v>Regular Customer</v>
      </c>
    </row>
    <row r="754" spans="1:12" ht="15.75" customHeight="1" x14ac:dyDescent="0.3">
      <c r="A754" s="7">
        <v>45623</v>
      </c>
      <c r="B754" s="8" t="s">
        <v>1789</v>
      </c>
      <c r="C754" s="8" t="s">
        <v>8</v>
      </c>
      <c r="D754" s="8" t="s">
        <v>14</v>
      </c>
      <c r="E754" s="9">
        <v>12.15</v>
      </c>
      <c r="F754" s="8" t="s">
        <v>10</v>
      </c>
      <c r="G754" s="8">
        <v>24.3</v>
      </c>
      <c r="H754" s="10">
        <f t="shared" si="22"/>
        <v>11</v>
      </c>
      <c r="I754" s="10">
        <f>YEAR(Sheet1!$A754)</f>
        <v>2024</v>
      </c>
      <c r="J754" s="10">
        <f>DAY(Sheet1!$A754)</f>
        <v>27</v>
      </c>
      <c r="K754" s="12" t="s">
        <v>2022</v>
      </c>
      <c r="L754" s="13" t="str">
        <f t="shared" si="23"/>
        <v>Regular Customer</v>
      </c>
    </row>
    <row r="755" spans="1:12" ht="15.75" customHeight="1" x14ac:dyDescent="0.3">
      <c r="A755" s="14">
        <v>45633</v>
      </c>
      <c r="B755" s="15" t="s">
        <v>1182</v>
      </c>
      <c r="C755" s="15" t="s">
        <v>24</v>
      </c>
      <c r="D755" s="15" t="s">
        <v>19</v>
      </c>
      <c r="E755" s="16">
        <v>24.3</v>
      </c>
      <c r="F755" s="15" t="s">
        <v>11</v>
      </c>
      <c r="G755" s="15">
        <v>24.3</v>
      </c>
      <c r="H755" s="17">
        <f t="shared" si="22"/>
        <v>12</v>
      </c>
      <c r="I755" s="17">
        <f>YEAR(Sheet1!$A755)</f>
        <v>2024</v>
      </c>
      <c r="J755" s="17">
        <f>DAY(Sheet1!$A755)</f>
        <v>7</v>
      </c>
      <c r="K755" s="18" t="s">
        <v>2022</v>
      </c>
      <c r="L755" s="19" t="str">
        <f t="shared" si="23"/>
        <v>Regular Customer</v>
      </c>
    </row>
    <row r="756" spans="1:12" ht="15.75" customHeight="1" x14ac:dyDescent="0.3">
      <c r="A756" s="7">
        <v>45649</v>
      </c>
      <c r="B756" s="8" t="s">
        <v>433</v>
      </c>
      <c r="C756" s="8" t="s">
        <v>24</v>
      </c>
      <c r="D756" s="8" t="s">
        <v>9</v>
      </c>
      <c r="E756" s="9">
        <v>24.32</v>
      </c>
      <c r="F756" s="8" t="s">
        <v>10</v>
      </c>
      <c r="G756" s="8">
        <v>24.32</v>
      </c>
      <c r="H756" s="10">
        <f t="shared" si="22"/>
        <v>12</v>
      </c>
      <c r="I756" s="10">
        <f>YEAR(Sheet1!$A756)</f>
        <v>2024</v>
      </c>
      <c r="J756" s="10">
        <f>DAY(Sheet1!$A756)</f>
        <v>23</v>
      </c>
      <c r="K756" s="12" t="s">
        <v>2022</v>
      </c>
      <c r="L756" s="13" t="str">
        <f t="shared" si="23"/>
        <v>Regular Customer</v>
      </c>
    </row>
    <row r="757" spans="1:12" ht="15.75" customHeight="1" x14ac:dyDescent="0.3">
      <c r="A757" s="14">
        <v>45585</v>
      </c>
      <c r="B757" s="15" t="s">
        <v>1181</v>
      </c>
      <c r="C757" s="15" t="s">
        <v>13</v>
      </c>
      <c r="D757" s="15" t="s">
        <v>9</v>
      </c>
      <c r="E757" s="16">
        <v>24.36</v>
      </c>
      <c r="F757" s="15" t="s">
        <v>10</v>
      </c>
      <c r="G757" s="15">
        <v>24.36</v>
      </c>
      <c r="H757" s="17">
        <f t="shared" si="22"/>
        <v>10</v>
      </c>
      <c r="I757" s="17">
        <f>YEAR(Sheet1!$A757)</f>
        <v>2024</v>
      </c>
      <c r="J757" s="17">
        <f>DAY(Sheet1!$A757)</f>
        <v>20</v>
      </c>
      <c r="K757" s="18" t="s">
        <v>2022</v>
      </c>
      <c r="L757" s="19" t="str">
        <f t="shared" si="23"/>
        <v>Regular Customer</v>
      </c>
    </row>
    <row r="758" spans="1:12" ht="15.75" customHeight="1" x14ac:dyDescent="0.3">
      <c r="A758" s="7">
        <v>45713</v>
      </c>
      <c r="B758" s="8" t="s">
        <v>100</v>
      </c>
      <c r="C758" s="8" t="s">
        <v>18</v>
      </c>
      <c r="D758" s="8" t="s">
        <v>16</v>
      </c>
      <c r="E758" s="9">
        <v>24.36</v>
      </c>
      <c r="F758" s="8" t="s">
        <v>10</v>
      </c>
      <c r="G758" s="8">
        <v>24.36</v>
      </c>
      <c r="H758" s="10">
        <f t="shared" si="22"/>
        <v>2</v>
      </c>
      <c r="I758" s="10">
        <f>YEAR(Sheet1!$A758)</f>
        <v>2025</v>
      </c>
      <c r="J758" s="10">
        <f>DAY(Sheet1!$A758)</f>
        <v>25</v>
      </c>
      <c r="K758" s="12" t="s">
        <v>2022</v>
      </c>
      <c r="L758" s="13" t="str">
        <f t="shared" si="23"/>
        <v>Regular Customer</v>
      </c>
    </row>
    <row r="759" spans="1:12" ht="15.75" customHeight="1" x14ac:dyDescent="0.3">
      <c r="A759" s="14">
        <v>45677</v>
      </c>
      <c r="B759" s="15" t="s">
        <v>1702</v>
      </c>
      <c r="C759" s="15" t="s">
        <v>13</v>
      </c>
      <c r="D759" s="15" t="s">
        <v>19</v>
      </c>
      <c r="E759" s="16">
        <v>12.19</v>
      </c>
      <c r="F759" s="15" t="s">
        <v>10</v>
      </c>
      <c r="G759" s="15">
        <v>24.38</v>
      </c>
      <c r="H759" s="17">
        <f t="shared" si="22"/>
        <v>1</v>
      </c>
      <c r="I759" s="17">
        <f>YEAR(Sheet1!$A759)</f>
        <v>2025</v>
      </c>
      <c r="J759" s="17">
        <f>DAY(Sheet1!$A759)</f>
        <v>20</v>
      </c>
      <c r="K759" s="18" t="s">
        <v>2022</v>
      </c>
      <c r="L759" s="19" t="str">
        <f t="shared" si="23"/>
        <v>Regular Customer</v>
      </c>
    </row>
    <row r="760" spans="1:12" ht="15.75" customHeight="1" x14ac:dyDescent="0.3">
      <c r="A760" s="7">
        <v>45687</v>
      </c>
      <c r="B760" s="8" t="s">
        <v>350</v>
      </c>
      <c r="C760" s="8" t="s">
        <v>8</v>
      </c>
      <c r="D760" s="8" t="s">
        <v>14</v>
      </c>
      <c r="E760" s="9">
        <v>12.19</v>
      </c>
      <c r="F760" s="8" t="s">
        <v>10</v>
      </c>
      <c r="G760" s="8">
        <v>24.38</v>
      </c>
      <c r="H760" s="10">
        <f t="shared" si="22"/>
        <v>1</v>
      </c>
      <c r="I760" s="10">
        <f>YEAR(Sheet1!$A760)</f>
        <v>2025</v>
      </c>
      <c r="J760" s="10">
        <f>DAY(Sheet1!$A760)</f>
        <v>30</v>
      </c>
      <c r="K760" s="12" t="s">
        <v>2022</v>
      </c>
      <c r="L760" s="13" t="str">
        <f t="shared" si="23"/>
        <v>Regular Customer</v>
      </c>
    </row>
    <row r="761" spans="1:12" ht="15.75" customHeight="1" x14ac:dyDescent="0.3">
      <c r="A761" s="14">
        <v>45499</v>
      </c>
      <c r="B761" s="15" t="s">
        <v>1613</v>
      </c>
      <c r="C761" s="15" t="s">
        <v>24</v>
      </c>
      <c r="D761" s="15" t="s">
        <v>9</v>
      </c>
      <c r="E761" s="16">
        <v>24.42</v>
      </c>
      <c r="F761" s="15" t="s">
        <v>11</v>
      </c>
      <c r="G761" s="15">
        <v>24.42</v>
      </c>
      <c r="H761" s="17">
        <f t="shared" si="22"/>
        <v>7</v>
      </c>
      <c r="I761" s="17">
        <f>YEAR(Sheet1!$A761)</f>
        <v>2024</v>
      </c>
      <c r="J761" s="17">
        <f>DAY(Sheet1!$A761)</f>
        <v>26</v>
      </c>
      <c r="K761" s="18" t="s">
        <v>2023</v>
      </c>
      <c r="L761" s="19" t="str">
        <f t="shared" si="23"/>
        <v>Regular Customer</v>
      </c>
    </row>
    <row r="762" spans="1:12" ht="15.75" customHeight="1" x14ac:dyDescent="0.3">
      <c r="A762" s="7">
        <v>45678</v>
      </c>
      <c r="B762" s="8" t="s">
        <v>142</v>
      </c>
      <c r="C762" s="8" t="s">
        <v>13</v>
      </c>
      <c r="D762" s="8" t="s">
        <v>19</v>
      </c>
      <c r="E762" s="9">
        <v>24.44</v>
      </c>
      <c r="F762" s="8" t="s">
        <v>11</v>
      </c>
      <c r="G762" s="8">
        <v>24.44</v>
      </c>
      <c r="H762" s="10">
        <f t="shared" si="22"/>
        <v>1</v>
      </c>
      <c r="I762" s="10">
        <f>YEAR(Sheet1!$A762)</f>
        <v>2025</v>
      </c>
      <c r="J762" s="10">
        <f>DAY(Sheet1!$A762)</f>
        <v>21</v>
      </c>
      <c r="K762" s="12" t="s">
        <v>2023</v>
      </c>
      <c r="L762" s="13" t="str">
        <f t="shared" si="23"/>
        <v>Regular Customer</v>
      </c>
    </row>
    <row r="763" spans="1:12" ht="15.75" customHeight="1" x14ac:dyDescent="0.3">
      <c r="A763" s="14">
        <v>45475</v>
      </c>
      <c r="B763" s="15" t="s">
        <v>1905</v>
      </c>
      <c r="C763" s="15" t="s">
        <v>18</v>
      </c>
      <c r="D763" s="15" t="s">
        <v>14</v>
      </c>
      <c r="E763" s="16">
        <v>8.15</v>
      </c>
      <c r="F763" s="15" t="s">
        <v>11</v>
      </c>
      <c r="G763" s="15">
        <v>24.45</v>
      </c>
      <c r="H763" s="17">
        <f t="shared" si="22"/>
        <v>7</v>
      </c>
      <c r="I763" s="17">
        <f>YEAR(Sheet1!$A763)</f>
        <v>2024</v>
      </c>
      <c r="J763" s="17">
        <f>DAY(Sheet1!$A763)</f>
        <v>2</v>
      </c>
      <c r="K763" s="18" t="s">
        <v>2023</v>
      </c>
      <c r="L763" s="19" t="str">
        <f t="shared" si="23"/>
        <v>Regular Customer</v>
      </c>
    </row>
    <row r="764" spans="1:12" ht="15.75" customHeight="1" x14ac:dyDescent="0.3">
      <c r="A764" s="7">
        <v>45751</v>
      </c>
      <c r="B764" s="8" t="s">
        <v>1687</v>
      </c>
      <c r="C764" s="8" t="s">
        <v>24</v>
      </c>
      <c r="D764" s="8" t="s">
        <v>16</v>
      </c>
      <c r="E764" s="9">
        <v>8.15</v>
      </c>
      <c r="F764" s="8" t="s">
        <v>11</v>
      </c>
      <c r="G764" s="8">
        <v>24.45</v>
      </c>
      <c r="H764" s="10">
        <f t="shared" si="22"/>
        <v>4</v>
      </c>
      <c r="I764" s="10">
        <f>YEAR(Sheet1!$A764)</f>
        <v>2025</v>
      </c>
      <c r="J764" s="10">
        <f>DAY(Sheet1!$A764)</f>
        <v>4</v>
      </c>
      <c r="K764" s="12" t="s">
        <v>2023</v>
      </c>
      <c r="L764" s="13" t="str">
        <f t="shared" si="23"/>
        <v>Regular Customer</v>
      </c>
    </row>
    <row r="765" spans="1:12" ht="15.75" customHeight="1" x14ac:dyDescent="0.3">
      <c r="A765" s="14">
        <v>45667</v>
      </c>
      <c r="B765" s="15" t="s">
        <v>895</v>
      </c>
      <c r="C765" s="15" t="s">
        <v>24</v>
      </c>
      <c r="D765" s="15" t="s">
        <v>16</v>
      </c>
      <c r="E765" s="16">
        <v>24.46</v>
      </c>
      <c r="F765" s="15" t="s">
        <v>10</v>
      </c>
      <c r="G765" s="15">
        <v>24.46</v>
      </c>
      <c r="H765" s="17">
        <f t="shared" si="22"/>
        <v>1</v>
      </c>
      <c r="I765" s="17">
        <f>YEAR(Sheet1!$A765)</f>
        <v>2025</v>
      </c>
      <c r="J765" s="17">
        <f>DAY(Sheet1!$A765)</f>
        <v>10</v>
      </c>
      <c r="K765" s="18" t="s">
        <v>2022</v>
      </c>
      <c r="L765" s="19" t="str">
        <f t="shared" si="23"/>
        <v>Regular Customer</v>
      </c>
    </row>
    <row r="766" spans="1:12" ht="15.75" customHeight="1" x14ac:dyDescent="0.3">
      <c r="A766" s="7">
        <v>45573</v>
      </c>
      <c r="B766" s="8" t="s">
        <v>354</v>
      </c>
      <c r="C766" s="8" t="s">
        <v>24</v>
      </c>
      <c r="D766" s="8" t="s">
        <v>16</v>
      </c>
      <c r="E766" s="9">
        <v>24.51</v>
      </c>
      <c r="F766" s="8" t="s">
        <v>11</v>
      </c>
      <c r="G766" s="8">
        <v>24.51</v>
      </c>
      <c r="H766" s="10">
        <f t="shared" si="22"/>
        <v>10</v>
      </c>
      <c r="I766" s="10">
        <f>YEAR(Sheet1!$A766)</f>
        <v>2024</v>
      </c>
      <c r="J766" s="10">
        <f>DAY(Sheet1!$A766)</f>
        <v>8</v>
      </c>
      <c r="K766" s="12" t="s">
        <v>2022</v>
      </c>
      <c r="L766" s="13" t="str">
        <f t="shared" si="23"/>
        <v>Regular Customer</v>
      </c>
    </row>
    <row r="767" spans="1:12" ht="15.75" customHeight="1" x14ac:dyDescent="0.3">
      <c r="A767" s="14">
        <v>45691</v>
      </c>
      <c r="B767" s="15" t="s">
        <v>687</v>
      </c>
      <c r="C767" s="15" t="s">
        <v>24</v>
      </c>
      <c r="D767" s="15" t="s">
        <v>14</v>
      </c>
      <c r="E767" s="16">
        <v>24.51</v>
      </c>
      <c r="F767" s="15" t="s">
        <v>10</v>
      </c>
      <c r="G767" s="15">
        <v>24.51</v>
      </c>
      <c r="H767" s="17">
        <f t="shared" si="22"/>
        <v>2</v>
      </c>
      <c r="I767" s="17">
        <f>YEAR(Sheet1!$A767)</f>
        <v>2025</v>
      </c>
      <c r="J767" s="17">
        <f>DAY(Sheet1!$A767)</f>
        <v>3</v>
      </c>
      <c r="K767" s="18" t="s">
        <v>2022</v>
      </c>
      <c r="L767" s="19" t="str">
        <f t="shared" si="23"/>
        <v>Regular Customer</v>
      </c>
    </row>
    <row r="768" spans="1:12" ht="15.75" customHeight="1" x14ac:dyDescent="0.3">
      <c r="A768" s="7">
        <v>45611</v>
      </c>
      <c r="B768" s="8" t="s">
        <v>2004</v>
      </c>
      <c r="C768" s="8" t="s">
        <v>18</v>
      </c>
      <c r="D768" s="8" t="s">
        <v>9</v>
      </c>
      <c r="E768" s="9">
        <v>12.26</v>
      </c>
      <c r="F768" s="8" t="s">
        <v>10</v>
      </c>
      <c r="G768" s="8">
        <v>24.52</v>
      </c>
      <c r="H768" s="10">
        <f t="shared" si="22"/>
        <v>11</v>
      </c>
      <c r="I768" s="10">
        <f>YEAR(Sheet1!$A768)</f>
        <v>2024</v>
      </c>
      <c r="J768" s="10">
        <f>DAY(Sheet1!$A768)</f>
        <v>15</v>
      </c>
      <c r="K768" s="12" t="s">
        <v>2022</v>
      </c>
      <c r="L768" s="13" t="str">
        <f t="shared" si="23"/>
        <v>Regular Customer</v>
      </c>
    </row>
    <row r="769" spans="1:12" ht="15.75" customHeight="1" x14ac:dyDescent="0.3">
      <c r="A769" s="14">
        <v>45728</v>
      </c>
      <c r="B769" s="15" t="s">
        <v>650</v>
      </c>
      <c r="C769" s="15" t="s">
        <v>24</v>
      </c>
      <c r="D769" s="15" t="s">
        <v>14</v>
      </c>
      <c r="E769" s="16">
        <v>24.52</v>
      </c>
      <c r="F769" s="15" t="s">
        <v>11</v>
      </c>
      <c r="G769" s="15">
        <v>24.52</v>
      </c>
      <c r="H769" s="17">
        <f t="shared" si="22"/>
        <v>3</v>
      </c>
      <c r="I769" s="17">
        <f>YEAR(Sheet1!$A769)</f>
        <v>2025</v>
      </c>
      <c r="J769" s="17">
        <f>DAY(Sheet1!$A769)</f>
        <v>12</v>
      </c>
      <c r="K769" s="18" t="s">
        <v>2023</v>
      </c>
      <c r="L769" s="19" t="str">
        <f t="shared" si="23"/>
        <v>Regular Customer</v>
      </c>
    </row>
    <row r="770" spans="1:12" ht="15.75" customHeight="1" x14ac:dyDescent="0.3">
      <c r="A770" s="7">
        <v>45579</v>
      </c>
      <c r="B770" s="8" t="s">
        <v>1172</v>
      </c>
      <c r="C770" s="8" t="s">
        <v>13</v>
      </c>
      <c r="D770" s="8" t="s">
        <v>19</v>
      </c>
      <c r="E770" s="9">
        <v>24.58</v>
      </c>
      <c r="F770" s="8" t="s">
        <v>10</v>
      </c>
      <c r="G770" s="8">
        <v>24.58</v>
      </c>
      <c r="H770" s="10">
        <f t="shared" ref="H770:H833" si="24">MONTH(A770)</f>
        <v>10</v>
      </c>
      <c r="I770" s="10">
        <f>YEAR(Sheet1!$A770)</f>
        <v>2024</v>
      </c>
      <c r="J770" s="10">
        <f>DAY(Sheet1!$A770)</f>
        <v>14</v>
      </c>
      <c r="K770" s="12" t="s">
        <v>2022</v>
      </c>
      <c r="L770" s="13" t="str">
        <f t="shared" ref="L770:L833" si="25">IF(G770&gt;50,"Premium Customer","Regular Customer")</f>
        <v>Regular Customer</v>
      </c>
    </row>
    <row r="771" spans="1:12" ht="15.75" customHeight="1" x14ac:dyDescent="0.3">
      <c r="A771" s="14">
        <v>45645</v>
      </c>
      <c r="B771" s="15" t="s">
        <v>1858</v>
      </c>
      <c r="C771" s="15" t="s">
        <v>8</v>
      </c>
      <c r="D771" s="15" t="s">
        <v>9</v>
      </c>
      <c r="E771" s="16">
        <v>24.62</v>
      </c>
      <c r="F771" s="15" t="s">
        <v>11</v>
      </c>
      <c r="G771" s="15">
        <v>24.62</v>
      </c>
      <c r="H771" s="17">
        <f t="shared" si="24"/>
        <v>12</v>
      </c>
      <c r="I771" s="17">
        <f>YEAR(Sheet1!$A771)</f>
        <v>2024</v>
      </c>
      <c r="J771" s="17">
        <f>DAY(Sheet1!$A771)</f>
        <v>19</v>
      </c>
      <c r="K771" s="18" t="s">
        <v>2022</v>
      </c>
      <c r="L771" s="19" t="str">
        <f t="shared" si="25"/>
        <v>Regular Customer</v>
      </c>
    </row>
    <row r="772" spans="1:12" ht="15.75" customHeight="1" x14ac:dyDescent="0.3">
      <c r="A772" s="7">
        <v>45755</v>
      </c>
      <c r="B772" s="8" t="s">
        <v>535</v>
      </c>
      <c r="C772" s="8" t="s">
        <v>24</v>
      </c>
      <c r="D772" s="8" t="s">
        <v>16</v>
      </c>
      <c r="E772" s="9">
        <v>24.62</v>
      </c>
      <c r="F772" s="8" t="s">
        <v>11</v>
      </c>
      <c r="G772" s="8">
        <v>24.62</v>
      </c>
      <c r="H772" s="10">
        <f t="shared" si="24"/>
        <v>4</v>
      </c>
      <c r="I772" s="10">
        <f>YEAR(Sheet1!$A772)</f>
        <v>2025</v>
      </c>
      <c r="J772" s="10">
        <f>DAY(Sheet1!$A772)</f>
        <v>8</v>
      </c>
      <c r="K772" s="12" t="s">
        <v>2022</v>
      </c>
      <c r="L772" s="13" t="str">
        <f t="shared" si="25"/>
        <v>Regular Customer</v>
      </c>
    </row>
    <row r="773" spans="1:12" ht="15.75" customHeight="1" x14ac:dyDescent="0.3">
      <c r="A773" s="14">
        <v>45748</v>
      </c>
      <c r="B773" s="15" t="s">
        <v>1588</v>
      </c>
      <c r="C773" s="15" t="s">
        <v>13</v>
      </c>
      <c r="D773" s="15" t="s">
        <v>16</v>
      </c>
      <c r="E773" s="16">
        <v>24.63</v>
      </c>
      <c r="F773" s="15" t="s">
        <v>11</v>
      </c>
      <c r="G773" s="15">
        <v>24.63</v>
      </c>
      <c r="H773" s="17">
        <f t="shared" si="24"/>
        <v>4</v>
      </c>
      <c r="I773" s="17">
        <f>YEAR(Sheet1!$A773)</f>
        <v>2025</v>
      </c>
      <c r="J773" s="17">
        <f>DAY(Sheet1!$A773)</f>
        <v>1</v>
      </c>
      <c r="K773" s="18" t="s">
        <v>2023</v>
      </c>
      <c r="L773" s="19" t="str">
        <f t="shared" si="25"/>
        <v>Regular Customer</v>
      </c>
    </row>
    <row r="774" spans="1:12" ht="15.75" customHeight="1" x14ac:dyDescent="0.3">
      <c r="A774" s="7">
        <v>45517</v>
      </c>
      <c r="B774" s="8" t="s">
        <v>1930</v>
      </c>
      <c r="C774" s="8" t="s">
        <v>24</v>
      </c>
      <c r="D774" s="8" t="s">
        <v>19</v>
      </c>
      <c r="E774" s="9">
        <v>24.65</v>
      </c>
      <c r="F774" s="8" t="s">
        <v>11</v>
      </c>
      <c r="G774" s="8">
        <v>24.65</v>
      </c>
      <c r="H774" s="10">
        <f t="shared" si="24"/>
        <v>8</v>
      </c>
      <c r="I774" s="10">
        <f>YEAR(Sheet1!$A774)</f>
        <v>2024</v>
      </c>
      <c r="J774" s="10">
        <f>DAY(Sheet1!$A774)</f>
        <v>13</v>
      </c>
      <c r="K774" s="12" t="s">
        <v>2022</v>
      </c>
      <c r="L774" s="13" t="str">
        <f t="shared" si="25"/>
        <v>Regular Customer</v>
      </c>
    </row>
    <row r="775" spans="1:12" ht="15.75" customHeight="1" x14ac:dyDescent="0.3">
      <c r="A775" s="14">
        <v>45724</v>
      </c>
      <c r="B775" s="15" t="s">
        <v>1887</v>
      </c>
      <c r="C775" s="15" t="s">
        <v>24</v>
      </c>
      <c r="D775" s="15" t="s">
        <v>9</v>
      </c>
      <c r="E775" s="16">
        <v>8.23</v>
      </c>
      <c r="F775" s="15" t="s">
        <v>11</v>
      </c>
      <c r="G775" s="15">
        <v>24.69</v>
      </c>
      <c r="H775" s="17">
        <f t="shared" si="24"/>
        <v>3</v>
      </c>
      <c r="I775" s="17">
        <f>YEAR(Sheet1!$A775)</f>
        <v>2025</v>
      </c>
      <c r="J775" s="17">
        <f>DAY(Sheet1!$A775)</f>
        <v>8</v>
      </c>
      <c r="K775" s="18" t="s">
        <v>2023</v>
      </c>
      <c r="L775" s="19" t="str">
        <f t="shared" si="25"/>
        <v>Regular Customer</v>
      </c>
    </row>
    <row r="776" spans="1:12" ht="15.75" customHeight="1" x14ac:dyDescent="0.3">
      <c r="A776" s="7">
        <v>45610</v>
      </c>
      <c r="B776" s="8" t="s">
        <v>614</v>
      </c>
      <c r="C776" s="8" t="s">
        <v>8</v>
      </c>
      <c r="D776" s="8" t="s">
        <v>9</v>
      </c>
      <c r="E776" s="9">
        <v>24.7</v>
      </c>
      <c r="F776" s="8" t="s">
        <v>10</v>
      </c>
      <c r="G776" s="8">
        <v>24.7</v>
      </c>
      <c r="H776" s="10">
        <f t="shared" si="24"/>
        <v>11</v>
      </c>
      <c r="I776" s="10">
        <f>YEAR(Sheet1!$A776)</f>
        <v>2024</v>
      </c>
      <c r="J776" s="10">
        <f>DAY(Sheet1!$A776)</f>
        <v>14</v>
      </c>
      <c r="K776" s="12" t="s">
        <v>2023</v>
      </c>
      <c r="L776" s="13" t="str">
        <f t="shared" si="25"/>
        <v>Regular Customer</v>
      </c>
    </row>
    <row r="777" spans="1:12" ht="15.75" customHeight="1" x14ac:dyDescent="0.3">
      <c r="A777" s="14">
        <v>45583</v>
      </c>
      <c r="B777" s="15" t="s">
        <v>534</v>
      </c>
      <c r="C777" s="15" t="s">
        <v>24</v>
      </c>
      <c r="D777" s="15" t="s">
        <v>16</v>
      </c>
      <c r="E777" s="16">
        <v>24.72</v>
      </c>
      <c r="F777" s="15" t="s">
        <v>11</v>
      </c>
      <c r="G777" s="15">
        <v>24.72</v>
      </c>
      <c r="H777" s="17">
        <f t="shared" si="24"/>
        <v>10</v>
      </c>
      <c r="I777" s="17">
        <f>YEAR(Sheet1!$A777)</f>
        <v>2024</v>
      </c>
      <c r="J777" s="17">
        <f>DAY(Sheet1!$A777)</f>
        <v>18</v>
      </c>
      <c r="K777" s="18" t="s">
        <v>2023</v>
      </c>
      <c r="L777" s="19" t="str">
        <f t="shared" si="25"/>
        <v>Regular Customer</v>
      </c>
    </row>
    <row r="778" spans="1:12" ht="15.75" customHeight="1" x14ac:dyDescent="0.3">
      <c r="A778" s="7">
        <v>45764</v>
      </c>
      <c r="B778" s="8" t="s">
        <v>1752</v>
      </c>
      <c r="C778" s="8" t="s">
        <v>24</v>
      </c>
      <c r="D778" s="8" t="s">
        <v>9</v>
      </c>
      <c r="E778" s="9">
        <v>12.36</v>
      </c>
      <c r="F778" s="8" t="s">
        <v>10</v>
      </c>
      <c r="G778" s="8">
        <v>24.72</v>
      </c>
      <c r="H778" s="10">
        <f t="shared" si="24"/>
        <v>4</v>
      </c>
      <c r="I778" s="10">
        <f>YEAR(Sheet1!$A778)</f>
        <v>2025</v>
      </c>
      <c r="J778" s="10">
        <f>DAY(Sheet1!$A778)</f>
        <v>17</v>
      </c>
      <c r="K778" s="12" t="s">
        <v>2023</v>
      </c>
      <c r="L778" s="13" t="str">
        <f t="shared" si="25"/>
        <v>Regular Customer</v>
      </c>
    </row>
    <row r="779" spans="1:12" ht="15.75" customHeight="1" x14ac:dyDescent="0.3">
      <c r="A779" s="14">
        <v>45618</v>
      </c>
      <c r="B779" s="15" t="s">
        <v>1080</v>
      </c>
      <c r="C779" s="15" t="s">
        <v>13</v>
      </c>
      <c r="D779" s="15" t="s">
        <v>14</v>
      </c>
      <c r="E779" s="16">
        <v>24.75</v>
      </c>
      <c r="F779" s="15" t="s">
        <v>10</v>
      </c>
      <c r="G779" s="15">
        <v>24.75</v>
      </c>
      <c r="H779" s="17">
        <f t="shared" si="24"/>
        <v>11</v>
      </c>
      <c r="I779" s="17">
        <f>YEAR(Sheet1!$A779)</f>
        <v>2024</v>
      </c>
      <c r="J779" s="17">
        <f>DAY(Sheet1!$A779)</f>
        <v>22</v>
      </c>
      <c r="K779" s="18" t="s">
        <v>2023</v>
      </c>
      <c r="L779" s="19" t="str">
        <f t="shared" si="25"/>
        <v>Regular Customer</v>
      </c>
    </row>
    <row r="780" spans="1:12" ht="15.75" customHeight="1" x14ac:dyDescent="0.3">
      <c r="A780" s="7">
        <v>45623</v>
      </c>
      <c r="B780" s="8" t="s">
        <v>1464</v>
      </c>
      <c r="C780" s="8" t="s">
        <v>13</v>
      </c>
      <c r="D780" s="8" t="s">
        <v>9</v>
      </c>
      <c r="E780" s="9">
        <v>12.38</v>
      </c>
      <c r="F780" s="8" t="s">
        <v>10</v>
      </c>
      <c r="G780" s="8">
        <v>24.76</v>
      </c>
      <c r="H780" s="10">
        <f t="shared" si="24"/>
        <v>11</v>
      </c>
      <c r="I780" s="10">
        <f>YEAR(Sheet1!$A780)</f>
        <v>2024</v>
      </c>
      <c r="J780" s="10">
        <f>DAY(Sheet1!$A780)</f>
        <v>27</v>
      </c>
      <c r="K780" s="12" t="s">
        <v>2023</v>
      </c>
      <c r="L780" s="13" t="str">
        <f t="shared" si="25"/>
        <v>Regular Customer</v>
      </c>
    </row>
    <row r="781" spans="1:12" ht="15.75" customHeight="1" x14ac:dyDescent="0.3">
      <c r="A781" s="14">
        <v>45747</v>
      </c>
      <c r="B781" s="15" t="s">
        <v>1543</v>
      </c>
      <c r="C781" s="15" t="s">
        <v>8</v>
      </c>
      <c r="D781" s="15" t="s">
        <v>19</v>
      </c>
      <c r="E781" s="16">
        <v>24.79</v>
      </c>
      <c r="F781" s="15" t="s">
        <v>11</v>
      </c>
      <c r="G781" s="15">
        <v>24.79</v>
      </c>
      <c r="H781" s="17">
        <f t="shared" si="24"/>
        <v>3</v>
      </c>
      <c r="I781" s="17">
        <f>YEAR(Sheet1!$A781)</f>
        <v>2025</v>
      </c>
      <c r="J781" s="17">
        <f>DAY(Sheet1!$A781)</f>
        <v>31</v>
      </c>
      <c r="K781" s="18" t="s">
        <v>2022</v>
      </c>
      <c r="L781" s="19" t="str">
        <f t="shared" si="25"/>
        <v>Regular Customer</v>
      </c>
    </row>
    <row r="782" spans="1:12" ht="15.75" customHeight="1" x14ac:dyDescent="0.3">
      <c r="A782" s="7">
        <v>45778</v>
      </c>
      <c r="B782" s="8" t="s">
        <v>1681</v>
      </c>
      <c r="C782" s="8" t="s">
        <v>18</v>
      </c>
      <c r="D782" s="8" t="s">
        <v>9</v>
      </c>
      <c r="E782" s="9">
        <v>8.2899999999999991</v>
      </c>
      <c r="F782" s="8" t="s">
        <v>10</v>
      </c>
      <c r="G782" s="8">
        <v>24.87</v>
      </c>
      <c r="H782" s="10">
        <f t="shared" si="24"/>
        <v>5</v>
      </c>
      <c r="I782" s="10">
        <f>YEAR(Sheet1!$A782)</f>
        <v>2025</v>
      </c>
      <c r="J782" s="10">
        <f>DAY(Sheet1!$A782)</f>
        <v>1</v>
      </c>
      <c r="K782" s="12" t="s">
        <v>2023</v>
      </c>
      <c r="L782" s="13" t="str">
        <f t="shared" si="25"/>
        <v>Regular Customer</v>
      </c>
    </row>
    <row r="783" spans="1:12" ht="15.75" customHeight="1" x14ac:dyDescent="0.3">
      <c r="A783" s="14">
        <v>45663</v>
      </c>
      <c r="B783" s="15" t="s">
        <v>1520</v>
      </c>
      <c r="C783" s="15" t="s">
        <v>18</v>
      </c>
      <c r="D783" s="15" t="s">
        <v>14</v>
      </c>
      <c r="E783" s="16">
        <v>24.89</v>
      </c>
      <c r="F783" s="15" t="s">
        <v>10</v>
      </c>
      <c r="G783" s="15">
        <v>24.89</v>
      </c>
      <c r="H783" s="17">
        <f t="shared" si="24"/>
        <v>1</v>
      </c>
      <c r="I783" s="17">
        <f>YEAR(Sheet1!$A783)</f>
        <v>2025</v>
      </c>
      <c r="J783" s="17">
        <f>DAY(Sheet1!$A783)</f>
        <v>6</v>
      </c>
      <c r="K783" s="18" t="s">
        <v>2023</v>
      </c>
      <c r="L783" s="19" t="str">
        <f t="shared" si="25"/>
        <v>Regular Customer</v>
      </c>
    </row>
    <row r="784" spans="1:12" ht="15.75" customHeight="1" x14ac:dyDescent="0.3">
      <c r="A784" s="7">
        <v>45719</v>
      </c>
      <c r="B784" s="8" t="s">
        <v>538</v>
      </c>
      <c r="C784" s="8" t="s">
        <v>18</v>
      </c>
      <c r="D784" s="8" t="s">
        <v>16</v>
      </c>
      <c r="E784" s="9">
        <v>24.9</v>
      </c>
      <c r="F784" s="8" t="s">
        <v>11</v>
      </c>
      <c r="G784" s="8">
        <v>24.9</v>
      </c>
      <c r="H784" s="10">
        <f t="shared" si="24"/>
        <v>3</v>
      </c>
      <c r="I784" s="10">
        <f>YEAR(Sheet1!$A784)</f>
        <v>2025</v>
      </c>
      <c r="J784" s="10">
        <f>DAY(Sheet1!$A784)</f>
        <v>3</v>
      </c>
      <c r="K784" s="12" t="s">
        <v>2023</v>
      </c>
      <c r="L784" s="13" t="str">
        <f t="shared" si="25"/>
        <v>Regular Customer</v>
      </c>
    </row>
    <row r="785" spans="1:12" ht="15.75" customHeight="1" x14ac:dyDescent="0.3">
      <c r="A785" s="14">
        <v>45421</v>
      </c>
      <c r="B785" s="15" t="s">
        <v>745</v>
      </c>
      <c r="C785" s="15" t="s">
        <v>24</v>
      </c>
      <c r="D785" s="15" t="s">
        <v>14</v>
      </c>
      <c r="E785" s="16">
        <v>24.91</v>
      </c>
      <c r="F785" s="15" t="s">
        <v>10</v>
      </c>
      <c r="G785" s="15">
        <v>24.91</v>
      </c>
      <c r="H785" s="17">
        <f t="shared" si="24"/>
        <v>5</v>
      </c>
      <c r="I785" s="17">
        <f>YEAR(Sheet1!$A785)</f>
        <v>2024</v>
      </c>
      <c r="J785" s="17">
        <f>DAY(Sheet1!$A785)</f>
        <v>9</v>
      </c>
      <c r="K785" s="18" t="s">
        <v>2022</v>
      </c>
      <c r="L785" s="19" t="str">
        <f t="shared" si="25"/>
        <v>Regular Customer</v>
      </c>
    </row>
    <row r="786" spans="1:12" ht="15.75" customHeight="1" x14ac:dyDescent="0.3">
      <c r="A786" s="7">
        <v>45563</v>
      </c>
      <c r="B786" s="8" t="s">
        <v>1667</v>
      </c>
      <c r="C786" s="8" t="s">
        <v>8</v>
      </c>
      <c r="D786" s="8" t="s">
        <v>9</v>
      </c>
      <c r="E786" s="9">
        <v>24.91</v>
      </c>
      <c r="F786" s="8" t="s">
        <v>10</v>
      </c>
      <c r="G786" s="8">
        <v>24.91</v>
      </c>
      <c r="H786" s="10">
        <f t="shared" si="24"/>
        <v>9</v>
      </c>
      <c r="I786" s="10">
        <f>YEAR(Sheet1!$A786)</f>
        <v>2024</v>
      </c>
      <c r="J786" s="10">
        <f>DAY(Sheet1!$A786)</f>
        <v>28</v>
      </c>
      <c r="K786" s="12" t="s">
        <v>2022</v>
      </c>
      <c r="L786" s="13" t="str">
        <f t="shared" si="25"/>
        <v>Regular Customer</v>
      </c>
    </row>
    <row r="787" spans="1:12" ht="15.75" customHeight="1" x14ac:dyDescent="0.3">
      <c r="A787" s="14">
        <v>45430</v>
      </c>
      <c r="B787" s="15" t="s">
        <v>627</v>
      </c>
      <c r="C787" s="15" t="s">
        <v>13</v>
      </c>
      <c r="D787" s="15" t="s">
        <v>16</v>
      </c>
      <c r="E787" s="16">
        <v>12.46</v>
      </c>
      <c r="F787" s="15" t="s">
        <v>11</v>
      </c>
      <c r="G787" s="15">
        <v>24.92</v>
      </c>
      <c r="H787" s="17">
        <f t="shared" si="24"/>
        <v>5</v>
      </c>
      <c r="I787" s="17">
        <f>YEAR(Sheet1!$A787)</f>
        <v>2024</v>
      </c>
      <c r="J787" s="17">
        <f>DAY(Sheet1!$A787)</f>
        <v>18</v>
      </c>
      <c r="K787" s="18" t="s">
        <v>2023</v>
      </c>
      <c r="L787" s="19" t="str">
        <f t="shared" si="25"/>
        <v>Regular Customer</v>
      </c>
    </row>
    <row r="788" spans="1:12" ht="15.75" customHeight="1" x14ac:dyDescent="0.3">
      <c r="A788" s="7">
        <v>45692</v>
      </c>
      <c r="B788" s="8" t="s">
        <v>45</v>
      </c>
      <c r="C788" s="8" t="s">
        <v>13</v>
      </c>
      <c r="D788" s="8" t="s">
        <v>16</v>
      </c>
      <c r="E788" s="9">
        <v>8.32</v>
      </c>
      <c r="F788" s="8" t="s">
        <v>10</v>
      </c>
      <c r="G788" s="8">
        <v>24.96</v>
      </c>
      <c r="H788" s="10">
        <f t="shared" si="24"/>
        <v>2</v>
      </c>
      <c r="I788" s="10">
        <f>YEAR(Sheet1!$A788)</f>
        <v>2025</v>
      </c>
      <c r="J788" s="10">
        <f>DAY(Sheet1!$A788)</f>
        <v>4</v>
      </c>
      <c r="K788" s="12" t="s">
        <v>2023</v>
      </c>
      <c r="L788" s="13" t="str">
        <f t="shared" si="25"/>
        <v>Regular Customer</v>
      </c>
    </row>
    <row r="789" spans="1:12" ht="15.75" customHeight="1" x14ac:dyDescent="0.3">
      <c r="A789" s="14">
        <v>45660</v>
      </c>
      <c r="B789" s="15" t="s">
        <v>464</v>
      </c>
      <c r="C789" s="15" t="s">
        <v>24</v>
      </c>
      <c r="D789" s="15" t="s">
        <v>19</v>
      </c>
      <c r="E789" s="16">
        <v>8.33</v>
      </c>
      <c r="F789" s="15" t="s">
        <v>10</v>
      </c>
      <c r="G789" s="15">
        <v>24.99</v>
      </c>
      <c r="H789" s="17">
        <f t="shared" si="24"/>
        <v>1</v>
      </c>
      <c r="I789" s="17">
        <f>YEAR(Sheet1!$A789)</f>
        <v>2025</v>
      </c>
      <c r="J789" s="17">
        <f>DAY(Sheet1!$A789)</f>
        <v>3</v>
      </c>
      <c r="K789" s="18" t="s">
        <v>2023</v>
      </c>
      <c r="L789" s="19" t="str">
        <f t="shared" si="25"/>
        <v>Regular Customer</v>
      </c>
    </row>
    <row r="790" spans="1:12" ht="15.75" customHeight="1" x14ac:dyDescent="0.3">
      <c r="A790" s="7">
        <v>45449</v>
      </c>
      <c r="B790" s="8" t="s">
        <v>346</v>
      </c>
      <c r="C790" s="8" t="s">
        <v>13</v>
      </c>
      <c r="D790" s="8" t="s">
        <v>16</v>
      </c>
      <c r="E790" s="9">
        <v>12.52</v>
      </c>
      <c r="F790" s="8" t="s">
        <v>11</v>
      </c>
      <c r="G790" s="8">
        <v>25.04</v>
      </c>
      <c r="H790" s="10">
        <f t="shared" si="24"/>
        <v>6</v>
      </c>
      <c r="I790" s="10">
        <f>YEAR(Sheet1!$A790)</f>
        <v>2024</v>
      </c>
      <c r="J790" s="10">
        <f>DAY(Sheet1!$A790)</f>
        <v>6</v>
      </c>
      <c r="K790" s="12" t="s">
        <v>2023</v>
      </c>
      <c r="L790" s="13" t="str">
        <f t="shared" si="25"/>
        <v>Regular Customer</v>
      </c>
    </row>
    <row r="791" spans="1:12" ht="15.75" customHeight="1" x14ac:dyDescent="0.3">
      <c r="A791" s="14">
        <v>45451</v>
      </c>
      <c r="B791" s="15" t="s">
        <v>481</v>
      </c>
      <c r="C791" s="15" t="s">
        <v>13</v>
      </c>
      <c r="D791" s="15" t="s">
        <v>16</v>
      </c>
      <c r="E791" s="16">
        <v>25.04</v>
      </c>
      <c r="F791" s="15" t="s">
        <v>11</v>
      </c>
      <c r="G791" s="15">
        <v>25.04</v>
      </c>
      <c r="H791" s="17">
        <f t="shared" si="24"/>
        <v>6</v>
      </c>
      <c r="I791" s="17">
        <f>YEAR(Sheet1!$A791)</f>
        <v>2024</v>
      </c>
      <c r="J791" s="17">
        <f>DAY(Sheet1!$A791)</f>
        <v>8</v>
      </c>
      <c r="K791" s="18" t="s">
        <v>2023</v>
      </c>
      <c r="L791" s="19" t="str">
        <f t="shared" si="25"/>
        <v>Regular Customer</v>
      </c>
    </row>
    <row r="792" spans="1:12" ht="15.75" customHeight="1" x14ac:dyDescent="0.3">
      <c r="A792" s="7">
        <v>45531</v>
      </c>
      <c r="B792" s="8" t="s">
        <v>1083</v>
      </c>
      <c r="C792" s="8" t="s">
        <v>13</v>
      </c>
      <c r="D792" s="8" t="s">
        <v>19</v>
      </c>
      <c r="E792" s="9">
        <v>25.06</v>
      </c>
      <c r="F792" s="8" t="s">
        <v>11</v>
      </c>
      <c r="G792" s="8">
        <v>25.06</v>
      </c>
      <c r="H792" s="10">
        <f t="shared" si="24"/>
        <v>8</v>
      </c>
      <c r="I792" s="10">
        <f>YEAR(Sheet1!$A792)</f>
        <v>2024</v>
      </c>
      <c r="J792" s="10">
        <f>DAY(Sheet1!$A792)</f>
        <v>27</v>
      </c>
      <c r="K792" s="12" t="s">
        <v>2023</v>
      </c>
      <c r="L792" s="13" t="str">
        <f t="shared" si="25"/>
        <v>Regular Customer</v>
      </c>
    </row>
    <row r="793" spans="1:12" ht="15.75" customHeight="1" x14ac:dyDescent="0.3">
      <c r="A793" s="14">
        <v>45585</v>
      </c>
      <c r="B793" s="15" t="s">
        <v>626</v>
      </c>
      <c r="C793" s="15" t="s">
        <v>13</v>
      </c>
      <c r="D793" s="15" t="s">
        <v>9</v>
      </c>
      <c r="E793" s="16">
        <v>8.36</v>
      </c>
      <c r="F793" s="15" t="s">
        <v>11</v>
      </c>
      <c r="G793" s="15">
        <v>25.08</v>
      </c>
      <c r="H793" s="17">
        <f t="shared" si="24"/>
        <v>10</v>
      </c>
      <c r="I793" s="17">
        <f>YEAR(Sheet1!$A793)</f>
        <v>2024</v>
      </c>
      <c r="J793" s="17">
        <f>DAY(Sheet1!$A793)</f>
        <v>20</v>
      </c>
      <c r="K793" s="18" t="s">
        <v>2023</v>
      </c>
      <c r="L793" s="19" t="str">
        <f t="shared" si="25"/>
        <v>Regular Customer</v>
      </c>
    </row>
    <row r="794" spans="1:12" ht="15.75" customHeight="1" x14ac:dyDescent="0.3">
      <c r="A794" s="7">
        <v>45589</v>
      </c>
      <c r="B794" s="8" t="s">
        <v>716</v>
      </c>
      <c r="C794" s="8" t="s">
        <v>8</v>
      </c>
      <c r="D794" s="8" t="s">
        <v>19</v>
      </c>
      <c r="E794" s="9">
        <v>12.54</v>
      </c>
      <c r="F794" s="8" t="s">
        <v>10</v>
      </c>
      <c r="G794" s="8">
        <v>25.08</v>
      </c>
      <c r="H794" s="10">
        <f t="shared" si="24"/>
        <v>10</v>
      </c>
      <c r="I794" s="10">
        <f>YEAR(Sheet1!$A794)</f>
        <v>2024</v>
      </c>
      <c r="J794" s="10">
        <f>DAY(Sheet1!$A794)</f>
        <v>24</v>
      </c>
      <c r="K794" s="12" t="s">
        <v>2022</v>
      </c>
      <c r="L794" s="13" t="str">
        <f t="shared" si="25"/>
        <v>Regular Customer</v>
      </c>
    </row>
    <row r="795" spans="1:12" ht="15.75" customHeight="1" x14ac:dyDescent="0.3">
      <c r="A795" s="14">
        <v>45742</v>
      </c>
      <c r="B795" s="15" t="s">
        <v>1726</v>
      </c>
      <c r="C795" s="15" t="s">
        <v>8</v>
      </c>
      <c r="D795" s="15" t="s">
        <v>19</v>
      </c>
      <c r="E795" s="16">
        <v>25.13</v>
      </c>
      <c r="F795" s="15" t="s">
        <v>11</v>
      </c>
      <c r="G795" s="15">
        <v>25.13</v>
      </c>
      <c r="H795" s="17">
        <f t="shared" si="24"/>
        <v>3</v>
      </c>
      <c r="I795" s="17">
        <f>YEAR(Sheet1!$A795)</f>
        <v>2025</v>
      </c>
      <c r="J795" s="17">
        <f>DAY(Sheet1!$A795)</f>
        <v>26</v>
      </c>
      <c r="K795" s="18" t="s">
        <v>2023</v>
      </c>
      <c r="L795" s="19" t="str">
        <f t="shared" si="25"/>
        <v>Regular Customer</v>
      </c>
    </row>
    <row r="796" spans="1:12" ht="15.75" customHeight="1" x14ac:dyDescent="0.3">
      <c r="A796" s="7">
        <v>45582</v>
      </c>
      <c r="B796" s="8" t="s">
        <v>1096</v>
      </c>
      <c r="C796" s="8" t="s">
        <v>8</v>
      </c>
      <c r="D796" s="8" t="s">
        <v>16</v>
      </c>
      <c r="E796" s="9">
        <v>25.16</v>
      </c>
      <c r="F796" s="8" t="s">
        <v>10</v>
      </c>
      <c r="G796" s="8">
        <v>25.16</v>
      </c>
      <c r="H796" s="10">
        <f t="shared" si="24"/>
        <v>10</v>
      </c>
      <c r="I796" s="10">
        <f>YEAR(Sheet1!$A796)</f>
        <v>2024</v>
      </c>
      <c r="J796" s="10">
        <f>DAY(Sheet1!$A796)</f>
        <v>17</v>
      </c>
      <c r="K796" s="12" t="s">
        <v>2022</v>
      </c>
      <c r="L796" s="13" t="str">
        <f t="shared" si="25"/>
        <v>Regular Customer</v>
      </c>
    </row>
    <row r="797" spans="1:12" ht="15.75" customHeight="1" x14ac:dyDescent="0.3">
      <c r="A797" s="14">
        <v>45685</v>
      </c>
      <c r="B797" s="15" t="s">
        <v>1595</v>
      </c>
      <c r="C797" s="15" t="s">
        <v>18</v>
      </c>
      <c r="D797" s="15" t="s">
        <v>16</v>
      </c>
      <c r="E797" s="16">
        <v>12.59</v>
      </c>
      <c r="F797" s="15" t="s">
        <v>10</v>
      </c>
      <c r="G797" s="15">
        <v>25.18</v>
      </c>
      <c r="H797" s="17">
        <f t="shared" si="24"/>
        <v>1</v>
      </c>
      <c r="I797" s="17">
        <f>YEAR(Sheet1!$A797)</f>
        <v>2025</v>
      </c>
      <c r="J797" s="17">
        <f>DAY(Sheet1!$A797)</f>
        <v>28</v>
      </c>
      <c r="K797" s="18" t="s">
        <v>2023</v>
      </c>
      <c r="L797" s="19" t="str">
        <f t="shared" si="25"/>
        <v>Regular Customer</v>
      </c>
    </row>
    <row r="798" spans="1:12" ht="15.75" customHeight="1" x14ac:dyDescent="0.3">
      <c r="A798" s="7">
        <v>45705</v>
      </c>
      <c r="B798" s="8" t="s">
        <v>1138</v>
      </c>
      <c r="C798" s="8" t="s">
        <v>8</v>
      </c>
      <c r="D798" s="8" t="s">
        <v>16</v>
      </c>
      <c r="E798" s="9">
        <v>12.59</v>
      </c>
      <c r="F798" s="8" t="s">
        <v>10</v>
      </c>
      <c r="G798" s="8">
        <v>25.18</v>
      </c>
      <c r="H798" s="10">
        <f t="shared" si="24"/>
        <v>2</v>
      </c>
      <c r="I798" s="10">
        <f>YEAR(Sheet1!$A798)</f>
        <v>2025</v>
      </c>
      <c r="J798" s="10">
        <f>DAY(Sheet1!$A798)</f>
        <v>17</v>
      </c>
      <c r="K798" s="12" t="s">
        <v>2023</v>
      </c>
      <c r="L798" s="13" t="str">
        <f t="shared" si="25"/>
        <v>Regular Customer</v>
      </c>
    </row>
    <row r="799" spans="1:12" ht="15.75" customHeight="1" x14ac:dyDescent="0.3">
      <c r="A799" s="14">
        <v>45698</v>
      </c>
      <c r="B799" s="15" t="s">
        <v>32</v>
      </c>
      <c r="C799" s="15" t="s">
        <v>13</v>
      </c>
      <c r="D799" s="15" t="s">
        <v>19</v>
      </c>
      <c r="E799" s="16">
        <v>12.61</v>
      </c>
      <c r="F799" s="15" t="s">
        <v>10</v>
      </c>
      <c r="G799" s="15">
        <v>25.22</v>
      </c>
      <c r="H799" s="17">
        <f t="shared" si="24"/>
        <v>2</v>
      </c>
      <c r="I799" s="17">
        <f>YEAR(Sheet1!$A799)</f>
        <v>2025</v>
      </c>
      <c r="J799" s="17">
        <f>DAY(Sheet1!$A799)</f>
        <v>10</v>
      </c>
      <c r="K799" s="18" t="s">
        <v>2023</v>
      </c>
      <c r="L799" s="19" t="str">
        <f t="shared" si="25"/>
        <v>Regular Customer</v>
      </c>
    </row>
    <row r="800" spans="1:12" ht="15.75" customHeight="1" x14ac:dyDescent="0.3">
      <c r="A800" s="7">
        <v>45629</v>
      </c>
      <c r="B800" s="8" t="s">
        <v>865</v>
      </c>
      <c r="C800" s="8" t="s">
        <v>24</v>
      </c>
      <c r="D800" s="8" t="s">
        <v>19</v>
      </c>
      <c r="E800" s="9">
        <v>25.23</v>
      </c>
      <c r="F800" s="8" t="s">
        <v>10</v>
      </c>
      <c r="G800" s="8">
        <v>25.23</v>
      </c>
      <c r="H800" s="10">
        <f t="shared" si="24"/>
        <v>12</v>
      </c>
      <c r="I800" s="10">
        <f>YEAR(Sheet1!$A800)</f>
        <v>2024</v>
      </c>
      <c r="J800" s="10">
        <f>DAY(Sheet1!$A800)</f>
        <v>3</v>
      </c>
      <c r="K800" s="12" t="s">
        <v>2022</v>
      </c>
      <c r="L800" s="13" t="str">
        <f t="shared" si="25"/>
        <v>Regular Customer</v>
      </c>
    </row>
    <row r="801" spans="1:12" ht="15.75" customHeight="1" x14ac:dyDescent="0.3">
      <c r="A801" s="14">
        <v>45592</v>
      </c>
      <c r="B801" s="15" t="s">
        <v>1104</v>
      </c>
      <c r="C801" s="15" t="s">
        <v>8</v>
      </c>
      <c r="D801" s="15" t="s">
        <v>16</v>
      </c>
      <c r="E801" s="16">
        <v>8.42</v>
      </c>
      <c r="F801" s="15" t="s">
        <v>11</v>
      </c>
      <c r="G801" s="15">
        <v>25.26</v>
      </c>
      <c r="H801" s="17">
        <f t="shared" si="24"/>
        <v>10</v>
      </c>
      <c r="I801" s="17">
        <f>YEAR(Sheet1!$A801)</f>
        <v>2024</v>
      </c>
      <c r="J801" s="17">
        <f>DAY(Sheet1!$A801)</f>
        <v>27</v>
      </c>
      <c r="K801" s="18" t="s">
        <v>2023</v>
      </c>
      <c r="L801" s="19" t="str">
        <f t="shared" si="25"/>
        <v>Regular Customer</v>
      </c>
    </row>
    <row r="802" spans="1:12" ht="15.75" customHeight="1" x14ac:dyDescent="0.3">
      <c r="A802" s="7">
        <v>45530</v>
      </c>
      <c r="B802" s="8" t="s">
        <v>664</v>
      </c>
      <c r="C802" s="8" t="s">
        <v>13</v>
      </c>
      <c r="D802" s="8" t="s">
        <v>19</v>
      </c>
      <c r="E802" s="9">
        <v>12.64</v>
      </c>
      <c r="F802" s="8" t="s">
        <v>11</v>
      </c>
      <c r="G802" s="8">
        <v>25.28</v>
      </c>
      <c r="H802" s="10">
        <f t="shared" si="24"/>
        <v>8</v>
      </c>
      <c r="I802" s="10">
        <f>YEAR(Sheet1!$A802)</f>
        <v>2024</v>
      </c>
      <c r="J802" s="10">
        <f>DAY(Sheet1!$A802)</f>
        <v>26</v>
      </c>
      <c r="K802" s="12" t="s">
        <v>2022</v>
      </c>
      <c r="L802" s="13" t="str">
        <f t="shared" si="25"/>
        <v>Regular Customer</v>
      </c>
    </row>
    <row r="803" spans="1:12" ht="15.75" customHeight="1" x14ac:dyDescent="0.3">
      <c r="A803" s="14">
        <v>45697</v>
      </c>
      <c r="B803" s="15" t="s">
        <v>522</v>
      </c>
      <c r="C803" s="15" t="s">
        <v>13</v>
      </c>
      <c r="D803" s="15" t="s">
        <v>14</v>
      </c>
      <c r="E803" s="16">
        <v>25.28</v>
      </c>
      <c r="F803" s="15" t="s">
        <v>10</v>
      </c>
      <c r="G803" s="15">
        <v>25.28</v>
      </c>
      <c r="H803" s="17">
        <f t="shared" si="24"/>
        <v>2</v>
      </c>
      <c r="I803" s="17">
        <f>YEAR(Sheet1!$A803)</f>
        <v>2025</v>
      </c>
      <c r="J803" s="17">
        <f>DAY(Sheet1!$A803)</f>
        <v>9</v>
      </c>
      <c r="K803" s="18" t="s">
        <v>2022</v>
      </c>
      <c r="L803" s="19" t="str">
        <f t="shared" si="25"/>
        <v>Regular Customer</v>
      </c>
    </row>
    <row r="804" spans="1:12" ht="15.75" customHeight="1" x14ac:dyDescent="0.3">
      <c r="A804" s="7">
        <v>45565</v>
      </c>
      <c r="B804" s="8" t="s">
        <v>1691</v>
      </c>
      <c r="C804" s="8" t="s">
        <v>8</v>
      </c>
      <c r="D804" s="8" t="s">
        <v>16</v>
      </c>
      <c r="E804" s="9">
        <v>8.44</v>
      </c>
      <c r="F804" s="8" t="s">
        <v>10</v>
      </c>
      <c r="G804" s="8">
        <v>25.32</v>
      </c>
      <c r="H804" s="10">
        <f t="shared" si="24"/>
        <v>9</v>
      </c>
      <c r="I804" s="10">
        <f>YEAR(Sheet1!$A804)</f>
        <v>2024</v>
      </c>
      <c r="J804" s="10">
        <f>DAY(Sheet1!$A804)</f>
        <v>30</v>
      </c>
      <c r="K804" s="12" t="s">
        <v>2023</v>
      </c>
      <c r="L804" s="13" t="str">
        <f t="shared" si="25"/>
        <v>Regular Customer</v>
      </c>
    </row>
    <row r="805" spans="1:12" ht="15.75" customHeight="1" x14ac:dyDescent="0.3">
      <c r="A805" s="14">
        <v>45675</v>
      </c>
      <c r="B805" s="15" t="s">
        <v>1828</v>
      </c>
      <c r="C805" s="15" t="s">
        <v>13</v>
      </c>
      <c r="D805" s="15" t="s">
        <v>16</v>
      </c>
      <c r="E805" s="16">
        <v>25.32</v>
      </c>
      <c r="F805" s="15" t="s">
        <v>11</v>
      </c>
      <c r="G805" s="15">
        <v>25.32</v>
      </c>
      <c r="H805" s="17">
        <f t="shared" si="24"/>
        <v>1</v>
      </c>
      <c r="I805" s="17">
        <f>YEAR(Sheet1!$A805)</f>
        <v>2025</v>
      </c>
      <c r="J805" s="17">
        <f>DAY(Sheet1!$A805)</f>
        <v>18</v>
      </c>
      <c r="K805" s="18" t="s">
        <v>2023</v>
      </c>
      <c r="L805" s="19" t="str">
        <f t="shared" si="25"/>
        <v>Regular Customer</v>
      </c>
    </row>
    <row r="806" spans="1:12" ht="15.75" customHeight="1" x14ac:dyDescent="0.3">
      <c r="A806" s="7">
        <v>45618</v>
      </c>
      <c r="B806" s="8" t="s">
        <v>1708</v>
      </c>
      <c r="C806" s="8" t="s">
        <v>8</v>
      </c>
      <c r="D806" s="8" t="s">
        <v>14</v>
      </c>
      <c r="E806" s="9">
        <v>25.35</v>
      </c>
      <c r="F806" s="8" t="s">
        <v>10</v>
      </c>
      <c r="G806" s="8">
        <v>25.35</v>
      </c>
      <c r="H806" s="10">
        <f t="shared" si="24"/>
        <v>11</v>
      </c>
      <c r="I806" s="10">
        <f>YEAR(Sheet1!$A806)</f>
        <v>2024</v>
      </c>
      <c r="J806" s="10">
        <f>DAY(Sheet1!$A806)</f>
        <v>22</v>
      </c>
      <c r="K806" s="12" t="s">
        <v>2022</v>
      </c>
      <c r="L806" s="13" t="str">
        <f t="shared" si="25"/>
        <v>Regular Customer</v>
      </c>
    </row>
    <row r="807" spans="1:12" ht="15.75" customHeight="1" x14ac:dyDescent="0.3">
      <c r="A807" s="14">
        <v>45718</v>
      </c>
      <c r="B807" s="15" t="s">
        <v>1854</v>
      </c>
      <c r="C807" s="15" t="s">
        <v>18</v>
      </c>
      <c r="D807" s="15" t="s">
        <v>19</v>
      </c>
      <c r="E807" s="16">
        <v>25.38</v>
      </c>
      <c r="F807" s="15" t="s">
        <v>10</v>
      </c>
      <c r="G807" s="15">
        <v>25.38</v>
      </c>
      <c r="H807" s="17">
        <f t="shared" si="24"/>
        <v>3</v>
      </c>
      <c r="I807" s="17">
        <f>YEAR(Sheet1!$A807)</f>
        <v>2025</v>
      </c>
      <c r="J807" s="17">
        <f>DAY(Sheet1!$A807)</f>
        <v>2</v>
      </c>
      <c r="K807" s="18" t="s">
        <v>2023</v>
      </c>
      <c r="L807" s="19" t="str">
        <f t="shared" si="25"/>
        <v>Regular Customer</v>
      </c>
    </row>
    <row r="808" spans="1:12" ht="15.75" customHeight="1" x14ac:dyDescent="0.3">
      <c r="A808" s="7">
        <v>45442</v>
      </c>
      <c r="B808" s="8" t="s">
        <v>1955</v>
      </c>
      <c r="C808" s="8" t="s">
        <v>13</v>
      </c>
      <c r="D808" s="8" t="s">
        <v>9</v>
      </c>
      <c r="E808" s="9">
        <v>12.71</v>
      </c>
      <c r="F808" s="8" t="s">
        <v>11</v>
      </c>
      <c r="G808" s="8">
        <v>25.42</v>
      </c>
      <c r="H808" s="10">
        <f t="shared" si="24"/>
        <v>5</v>
      </c>
      <c r="I808" s="10">
        <f>YEAR(Sheet1!$A808)</f>
        <v>2024</v>
      </c>
      <c r="J808" s="10">
        <f>DAY(Sheet1!$A808)</f>
        <v>30</v>
      </c>
      <c r="K808" s="12" t="s">
        <v>2022</v>
      </c>
      <c r="L808" s="13" t="str">
        <f t="shared" si="25"/>
        <v>Regular Customer</v>
      </c>
    </row>
    <row r="809" spans="1:12" ht="15.75" customHeight="1" x14ac:dyDescent="0.3">
      <c r="A809" s="14">
        <v>45498</v>
      </c>
      <c r="B809" s="15" t="s">
        <v>1414</v>
      </c>
      <c r="C809" s="15" t="s">
        <v>8</v>
      </c>
      <c r="D809" s="15" t="s">
        <v>9</v>
      </c>
      <c r="E809" s="16">
        <v>12.72</v>
      </c>
      <c r="F809" s="15" t="s">
        <v>11</v>
      </c>
      <c r="G809" s="15">
        <v>25.44</v>
      </c>
      <c r="H809" s="17">
        <f t="shared" si="24"/>
        <v>7</v>
      </c>
      <c r="I809" s="17">
        <f>YEAR(Sheet1!$A809)</f>
        <v>2024</v>
      </c>
      <c r="J809" s="17">
        <f>DAY(Sheet1!$A809)</f>
        <v>25</v>
      </c>
      <c r="K809" s="18" t="s">
        <v>2023</v>
      </c>
      <c r="L809" s="19" t="str">
        <f t="shared" si="25"/>
        <v>Regular Customer</v>
      </c>
    </row>
    <row r="810" spans="1:12" ht="15.75" customHeight="1" x14ac:dyDescent="0.3">
      <c r="A810" s="7">
        <v>45451</v>
      </c>
      <c r="B810" s="8" t="s">
        <v>1627</v>
      </c>
      <c r="C810" s="8" t="s">
        <v>13</v>
      </c>
      <c r="D810" s="8" t="s">
        <v>19</v>
      </c>
      <c r="E810" s="9">
        <v>25.45</v>
      </c>
      <c r="F810" s="8" t="s">
        <v>10</v>
      </c>
      <c r="G810" s="8">
        <v>25.45</v>
      </c>
      <c r="H810" s="10">
        <f t="shared" si="24"/>
        <v>6</v>
      </c>
      <c r="I810" s="10">
        <f>YEAR(Sheet1!$A810)</f>
        <v>2024</v>
      </c>
      <c r="J810" s="10">
        <f>DAY(Sheet1!$A810)</f>
        <v>8</v>
      </c>
      <c r="K810" s="12" t="s">
        <v>2023</v>
      </c>
      <c r="L810" s="13" t="str">
        <f t="shared" si="25"/>
        <v>Regular Customer</v>
      </c>
    </row>
    <row r="811" spans="1:12" ht="15.75" customHeight="1" x14ac:dyDescent="0.3">
      <c r="A811" s="14">
        <v>45436</v>
      </c>
      <c r="B811" s="15" t="s">
        <v>1997</v>
      </c>
      <c r="C811" s="15" t="s">
        <v>24</v>
      </c>
      <c r="D811" s="15" t="s">
        <v>14</v>
      </c>
      <c r="E811" s="16">
        <v>25.48</v>
      </c>
      <c r="F811" s="15" t="s">
        <v>11</v>
      </c>
      <c r="G811" s="15">
        <v>25.48</v>
      </c>
      <c r="H811" s="17">
        <f t="shared" si="24"/>
        <v>5</v>
      </c>
      <c r="I811" s="17">
        <f>YEAR(Sheet1!$A811)</f>
        <v>2024</v>
      </c>
      <c r="J811" s="17">
        <f>DAY(Sheet1!$A811)</f>
        <v>24</v>
      </c>
      <c r="K811" s="18" t="s">
        <v>2022</v>
      </c>
      <c r="L811" s="19" t="str">
        <f t="shared" si="25"/>
        <v>Regular Customer</v>
      </c>
    </row>
    <row r="812" spans="1:12" ht="15.75" customHeight="1" x14ac:dyDescent="0.3">
      <c r="A812" s="7">
        <v>45448</v>
      </c>
      <c r="B812" s="8" t="s">
        <v>1519</v>
      </c>
      <c r="C812" s="8" t="s">
        <v>18</v>
      </c>
      <c r="D812" s="8" t="s">
        <v>14</v>
      </c>
      <c r="E812" s="9">
        <v>12.75</v>
      </c>
      <c r="F812" s="8" t="s">
        <v>10</v>
      </c>
      <c r="G812" s="8">
        <v>25.5</v>
      </c>
      <c r="H812" s="10">
        <f t="shared" si="24"/>
        <v>6</v>
      </c>
      <c r="I812" s="10">
        <f>YEAR(Sheet1!$A812)</f>
        <v>2024</v>
      </c>
      <c r="J812" s="10">
        <f>DAY(Sheet1!$A812)</f>
        <v>5</v>
      </c>
      <c r="K812" s="12" t="s">
        <v>2023</v>
      </c>
      <c r="L812" s="13" t="str">
        <f t="shared" si="25"/>
        <v>Regular Customer</v>
      </c>
    </row>
    <row r="813" spans="1:12" ht="15.75" customHeight="1" x14ac:dyDescent="0.3">
      <c r="A813" s="14">
        <v>45461</v>
      </c>
      <c r="B813" s="15" t="s">
        <v>1546</v>
      </c>
      <c r="C813" s="15" t="s">
        <v>24</v>
      </c>
      <c r="D813" s="15" t="s">
        <v>14</v>
      </c>
      <c r="E813" s="16">
        <v>25.53</v>
      </c>
      <c r="F813" s="15" t="s">
        <v>10</v>
      </c>
      <c r="G813" s="15">
        <v>25.53</v>
      </c>
      <c r="H813" s="17">
        <f t="shared" si="24"/>
        <v>6</v>
      </c>
      <c r="I813" s="17">
        <f>YEAR(Sheet1!$A813)</f>
        <v>2024</v>
      </c>
      <c r="J813" s="17">
        <f>DAY(Sheet1!$A813)</f>
        <v>18</v>
      </c>
      <c r="K813" s="18" t="s">
        <v>2023</v>
      </c>
      <c r="L813" s="19" t="str">
        <f t="shared" si="25"/>
        <v>Regular Customer</v>
      </c>
    </row>
    <row r="814" spans="1:12" ht="15.75" customHeight="1" x14ac:dyDescent="0.3">
      <c r="A814" s="7">
        <v>45500</v>
      </c>
      <c r="B814" s="8" t="s">
        <v>1390</v>
      </c>
      <c r="C814" s="8" t="s">
        <v>13</v>
      </c>
      <c r="D814" s="8" t="s">
        <v>19</v>
      </c>
      <c r="E814" s="9">
        <v>25.56</v>
      </c>
      <c r="F814" s="8" t="s">
        <v>11</v>
      </c>
      <c r="G814" s="8">
        <v>25.56</v>
      </c>
      <c r="H814" s="10">
        <f t="shared" si="24"/>
        <v>7</v>
      </c>
      <c r="I814" s="10">
        <f>YEAR(Sheet1!$A814)</f>
        <v>2024</v>
      </c>
      <c r="J814" s="10">
        <f>DAY(Sheet1!$A814)</f>
        <v>27</v>
      </c>
      <c r="K814" s="12" t="s">
        <v>2023</v>
      </c>
      <c r="L814" s="13" t="str">
        <f t="shared" si="25"/>
        <v>Regular Customer</v>
      </c>
    </row>
    <row r="815" spans="1:12" ht="15.75" customHeight="1" x14ac:dyDescent="0.3">
      <c r="A815" s="14">
        <v>45461</v>
      </c>
      <c r="B815" s="15" t="s">
        <v>894</v>
      </c>
      <c r="C815" s="15" t="s">
        <v>13</v>
      </c>
      <c r="D815" s="15" t="s">
        <v>16</v>
      </c>
      <c r="E815" s="16">
        <v>25.57</v>
      </c>
      <c r="F815" s="15" t="s">
        <v>11</v>
      </c>
      <c r="G815" s="15">
        <v>25.57</v>
      </c>
      <c r="H815" s="17">
        <f t="shared" si="24"/>
        <v>6</v>
      </c>
      <c r="I815" s="17">
        <f>YEAR(Sheet1!$A815)</f>
        <v>2024</v>
      </c>
      <c r="J815" s="17">
        <f>DAY(Sheet1!$A815)</f>
        <v>18</v>
      </c>
      <c r="K815" s="18" t="s">
        <v>2022</v>
      </c>
      <c r="L815" s="19" t="str">
        <f t="shared" si="25"/>
        <v>Regular Customer</v>
      </c>
    </row>
    <row r="816" spans="1:12" ht="15.75" customHeight="1" x14ac:dyDescent="0.3">
      <c r="A816" s="7">
        <v>45767</v>
      </c>
      <c r="B816" s="8" t="s">
        <v>1746</v>
      </c>
      <c r="C816" s="8" t="s">
        <v>18</v>
      </c>
      <c r="D816" s="8" t="s">
        <v>19</v>
      </c>
      <c r="E816" s="9">
        <v>12.79</v>
      </c>
      <c r="F816" s="8" t="s">
        <v>10</v>
      </c>
      <c r="G816" s="8">
        <v>25.58</v>
      </c>
      <c r="H816" s="10">
        <f t="shared" si="24"/>
        <v>4</v>
      </c>
      <c r="I816" s="10">
        <f>YEAR(Sheet1!$A816)</f>
        <v>2025</v>
      </c>
      <c r="J816" s="10">
        <f>DAY(Sheet1!$A816)</f>
        <v>20</v>
      </c>
      <c r="K816" s="12" t="s">
        <v>2023</v>
      </c>
      <c r="L816" s="13" t="str">
        <f t="shared" si="25"/>
        <v>Regular Customer</v>
      </c>
    </row>
    <row r="817" spans="1:12" ht="15.75" customHeight="1" x14ac:dyDescent="0.3">
      <c r="A817" s="14">
        <v>45475</v>
      </c>
      <c r="B817" s="15" t="s">
        <v>1340</v>
      </c>
      <c r="C817" s="15" t="s">
        <v>13</v>
      </c>
      <c r="D817" s="15" t="s">
        <v>9</v>
      </c>
      <c r="E817" s="16">
        <v>25.6</v>
      </c>
      <c r="F817" s="15" t="s">
        <v>10</v>
      </c>
      <c r="G817" s="15">
        <v>25.6</v>
      </c>
      <c r="H817" s="17">
        <f t="shared" si="24"/>
        <v>7</v>
      </c>
      <c r="I817" s="17">
        <f>YEAR(Sheet1!$A817)</f>
        <v>2024</v>
      </c>
      <c r="J817" s="17">
        <f>DAY(Sheet1!$A817)</f>
        <v>2</v>
      </c>
      <c r="K817" s="18" t="s">
        <v>2023</v>
      </c>
      <c r="L817" s="19" t="str">
        <f t="shared" si="25"/>
        <v>Regular Customer</v>
      </c>
    </row>
    <row r="818" spans="1:12" ht="15.75" customHeight="1" x14ac:dyDescent="0.3">
      <c r="A818" s="7">
        <v>45703</v>
      </c>
      <c r="B818" s="8" t="s">
        <v>371</v>
      </c>
      <c r="C818" s="8" t="s">
        <v>13</v>
      </c>
      <c r="D818" s="8" t="s">
        <v>19</v>
      </c>
      <c r="E818" s="9">
        <v>12.8</v>
      </c>
      <c r="F818" s="8" t="s">
        <v>11</v>
      </c>
      <c r="G818" s="8">
        <v>25.6</v>
      </c>
      <c r="H818" s="10">
        <f t="shared" si="24"/>
        <v>2</v>
      </c>
      <c r="I818" s="10">
        <f>YEAR(Sheet1!$A818)</f>
        <v>2025</v>
      </c>
      <c r="J818" s="10">
        <f>DAY(Sheet1!$A818)</f>
        <v>15</v>
      </c>
      <c r="K818" s="12" t="s">
        <v>2023</v>
      </c>
      <c r="L818" s="13" t="str">
        <f t="shared" si="25"/>
        <v>Regular Customer</v>
      </c>
    </row>
    <row r="819" spans="1:12" ht="15.75" customHeight="1" x14ac:dyDescent="0.3">
      <c r="A819" s="14">
        <v>45762</v>
      </c>
      <c r="B819" s="15" t="s">
        <v>1243</v>
      </c>
      <c r="C819" s="15" t="s">
        <v>13</v>
      </c>
      <c r="D819" s="15" t="s">
        <v>9</v>
      </c>
      <c r="E819" s="16">
        <v>25.63</v>
      </c>
      <c r="F819" s="15" t="s">
        <v>10</v>
      </c>
      <c r="G819" s="15">
        <v>25.63</v>
      </c>
      <c r="H819" s="17">
        <f t="shared" si="24"/>
        <v>4</v>
      </c>
      <c r="I819" s="17">
        <f>YEAR(Sheet1!$A819)</f>
        <v>2025</v>
      </c>
      <c r="J819" s="17">
        <f>DAY(Sheet1!$A819)</f>
        <v>15</v>
      </c>
      <c r="K819" s="18" t="s">
        <v>2023</v>
      </c>
      <c r="L819" s="19" t="str">
        <f t="shared" si="25"/>
        <v>Regular Customer</v>
      </c>
    </row>
    <row r="820" spans="1:12" ht="15.75" customHeight="1" x14ac:dyDescent="0.3">
      <c r="A820" s="7">
        <v>45472</v>
      </c>
      <c r="B820" s="8" t="s">
        <v>1674</v>
      </c>
      <c r="C820" s="8" t="s">
        <v>13</v>
      </c>
      <c r="D820" s="8" t="s">
        <v>9</v>
      </c>
      <c r="E820" s="9">
        <v>25.64</v>
      </c>
      <c r="F820" s="8" t="s">
        <v>11</v>
      </c>
      <c r="G820" s="8">
        <v>25.64</v>
      </c>
      <c r="H820" s="10">
        <f t="shared" si="24"/>
        <v>6</v>
      </c>
      <c r="I820" s="10">
        <f>YEAR(Sheet1!$A820)</f>
        <v>2024</v>
      </c>
      <c r="J820" s="10">
        <f>DAY(Sheet1!$A820)</f>
        <v>29</v>
      </c>
      <c r="K820" s="12" t="s">
        <v>2022</v>
      </c>
      <c r="L820" s="13" t="str">
        <f t="shared" si="25"/>
        <v>Regular Customer</v>
      </c>
    </row>
    <row r="821" spans="1:12" ht="15.75" customHeight="1" x14ac:dyDescent="0.3">
      <c r="A821" s="14">
        <v>45695</v>
      </c>
      <c r="B821" s="15" t="s">
        <v>1886</v>
      </c>
      <c r="C821" s="15" t="s">
        <v>13</v>
      </c>
      <c r="D821" s="15" t="s">
        <v>16</v>
      </c>
      <c r="E821" s="16">
        <v>8.56</v>
      </c>
      <c r="F821" s="15" t="s">
        <v>10</v>
      </c>
      <c r="G821" s="15">
        <v>25.68</v>
      </c>
      <c r="H821" s="17">
        <f t="shared" si="24"/>
        <v>2</v>
      </c>
      <c r="I821" s="17">
        <f>YEAR(Sheet1!$A821)</f>
        <v>2025</v>
      </c>
      <c r="J821" s="17">
        <f>DAY(Sheet1!$A821)</f>
        <v>7</v>
      </c>
      <c r="K821" s="18" t="s">
        <v>2023</v>
      </c>
      <c r="L821" s="19" t="str">
        <f t="shared" si="25"/>
        <v>Regular Customer</v>
      </c>
    </row>
    <row r="822" spans="1:12" ht="15.75" customHeight="1" x14ac:dyDescent="0.3">
      <c r="A822" s="7">
        <v>45756</v>
      </c>
      <c r="B822" s="8" t="s">
        <v>355</v>
      </c>
      <c r="C822" s="8" t="s">
        <v>8</v>
      </c>
      <c r="D822" s="8" t="s">
        <v>14</v>
      </c>
      <c r="E822" s="9">
        <v>25.68</v>
      </c>
      <c r="F822" s="8" t="s">
        <v>11</v>
      </c>
      <c r="G822" s="8">
        <v>25.68</v>
      </c>
      <c r="H822" s="10">
        <f t="shared" si="24"/>
        <v>4</v>
      </c>
      <c r="I822" s="10">
        <f>YEAR(Sheet1!$A822)</f>
        <v>2025</v>
      </c>
      <c r="J822" s="10">
        <f>DAY(Sheet1!$A822)</f>
        <v>9</v>
      </c>
      <c r="K822" s="12" t="s">
        <v>2022</v>
      </c>
      <c r="L822" s="13" t="str">
        <f t="shared" si="25"/>
        <v>Regular Customer</v>
      </c>
    </row>
    <row r="823" spans="1:12" ht="15.75" customHeight="1" x14ac:dyDescent="0.3">
      <c r="A823" s="14">
        <v>45699</v>
      </c>
      <c r="B823" s="15" t="s">
        <v>739</v>
      </c>
      <c r="C823" s="15" t="s">
        <v>8</v>
      </c>
      <c r="D823" s="15" t="s">
        <v>19</v>
      </c>
      <c r="E823" s="16">
        <v>12.85</v>
      </c>
      <c r="F823" s="15" t="s">
        <v>10</v>
      </c>
      <c r="G823" s="15">
        <v>25.7</v>
      </c>
      <c r="H823" s="17">
        <f t="shared" si="24"/>
        <v>2</v>
      </c>
      <c r="I823" s="17">
        <f>YEAR(Sheet1!$A823)</f>
        <v>2025</v>
      </c>
      <c r="J823" s="17">
        <f>DAY(Sheet1!$A823)</f>
        <v>11</v>
      </c>
      <c r="K823" s="18" t="s">
        <v>2023</v>
      </c>
      <c r="L823" s="19" t="str">
        <f t="shared" si="25"/>
        <v>Regular Customer</v>
      </c>
    </row>
    <row r="824" spans="1:12" ht="15.75" customHeight="1" x14ac:dyDescent="0.3">
      <c r="A824" s="7">
        <v>45435</v>
      </c>
      <c r="B824" s="8" t="s">
        <v>1236</v>
      </c>
      <c r="C824" s="8" t="s">
        <v>8</v>
      </c>
      <c r="D824" s="8" t="s">
        <v>19</v>
      </c>
      <c r="E824" s="9">
        <v>8.57</v>
      </c>
      <c r="F824" s="8" t="s">
        <v>11</v>
      </c>
      <c r="G824" s="8">
        <v>25.71</v>
      </c>
      <c r="H824" s="10">
        <f t="shared" si="24"/>
        <v>5</v>
      </c>
      <c r="I824" s="10">
        <f>YEAR(Sheet1!$A824)</f>
        <v>2024</v>
      </c>
      <c r="J824" s="10">
        <f>DAY(Sheet1!$A824)</f>
        <v>23</v>
      </c>
      <c r="K824" s="12" t="s">
        <v>2022</v>
      </c>
      <c r="L824" s="13" t="str">
        <f t="shared" si="25"/>
        <v>Regular Customer</v>
      </c>
    </row>
    <row r="825" spans="1:12" ht="15.75" customHeight="1" x14ac:dyDescent="0.3">
      <c r="A825" s="14">
        <v>45642</v>
      </c>
      <c r="B825" s="15" t="s">
        <v>317</v>
      </c>
      <c r="C825" s="15" t="s">
        <v>13</v>
      </c>
      <c r="D825" s="15" t="s">
        <v>19</v>
      </c>
      <c r="E825" s="16">
        <v>25.73</v>
      </c>
      <c r="F825" s="15" t="s">
        <v>10</v>
      </c>
      <c r="G825" s="15">
        <v>25.73</v>
      </c>
      <c r="H825" s="17">
        <f t="shared" si="24"/>
        <v>12</v>
      </c>
      <c r="I825" s="17">
        <f>YEAR(Sheet1!$A825)</f>
        <v>2024</v>
      </c>
      <c r="J825" s="17">
        <f>DAY(Sheet1!$A825)</f>
        <v>16</v>
      </c>
      <c r="K825" s="18" t="s">
        <v>2023</v>
      </c>
      <c r="L825" s="19" t="str">
        <f t="shared" si="25"/>
        <v>Regular Customer</v>
      </c>
    </row>
    <row r="826" spans="1:12" ht="15.75" customHeight="1" x14ac:dyDescent="0.3">
      <c r="A826" s="7">
        <v>45741</v>
      </c>
      <c r="B826" s="8" t="s">
        <v>1233</v>
      </c>
      <c r="C826" s="8" t="s">
        <v>8</v>
      </c>
      <c r="D826" s="8" t="s">
        <v>19</v>
      </c>
      <c r="E826" s="9">
        <v>12.88</v>
      </c>
      <c r="F826" s="8" t="s">
        <v>11</v>
      </c>
      <c r="G826" s="8">
        <v>25.76</v>
      </c>
      <c r="H826" s="10">
        <f t="shared" si="24"/>
        <v>3</v>
      </c>
      <c r="I826" s="10">
        <f>YEAR(Sheet1!$A826)</f>
        <v>2025</v>
      </c>
      <c r="J826" s="10">
        <f>DAY(Sheet1!$A826)</f>
        <v>25</v>
      </c>
      <c r="K826" s="12" t="s">
        <v>2022</v>
      </c>
      <c r="L826" s="13" t="str">
        <f t="shared" si="25"/>
        <v>Regular Customer</v>
      </c>
    </row>
    <row r="827" spans="1:12" ht="15.75" customHeight="1" x14ac:dyDescent="0.3">
      <c r="A827" s="14">
        <v>45593</v>
      </c>
      <c r="B827" s="15" t="s">
        <v>386</v>
      </c>
      <c r="C827" s="15" t="s">
        <v>18</v>
      </c>
      <c r="D827" s="15" t="s">
        <v>14</v>
      </c>
      <c r="E827" s="16">
        <v>25.77</v>
      </c>
      <c r="F827" s="15" t="s">
        <v>10</v>
      </c>
      <c r="G827" s="15">
        <v>25.77</v>
      </c>
      <c r="H827" s="17">
        <f t="shared" si="24"/>
        <v>10</v>
      </c>
      <c r="I827" s="17">
        <f>YEAR(Sheet1!$A827)</f>
        <v>2024</v>
      </c>
      <c r="J827" s="17">
        <f>DAY(Sheet1!$A827)</f>
        <v>28</v>
      </c>
      <c r="K827" s="18" t="s">
        <v>2023</v>
      </c>
      <c r="L827" s="19" t="str">
        <f t="shared" si="25"/>
        <v>Regular Customer</v>
      </c>
    </row>
    <row r="828" spans="1:12" ht="15.75" customHeight="1" x14ac:dyDescent="0.3">
      <c r="A828" s="7">
        <v>45493</v>
      </c>
      <c r="B828" s="8" t="s">
        <v>1574</v>
      </c>
      <c r="C828" s="8" t="s">
        <v>24</v>
      </c>
      <c r="D828" s="8" t="s">
        <v>19</v>
      </c>
      <c r="E828" s="9">
        <v>8.6300000000000008</v>
      </c>
      <c r="F828" s="8" t="s">
        <v>11</v>
      </c>
      <c r="G828" s="8">
        <v>25.89</v>
      </c>
      <c r="H828" s="10">
        <f t="shared" si="24"/>
        <v>7</v>
      </c>
      <c r="I828" s="10">
        <f>YEAR(Sheet1!$A828)</f>
        <v>2024</v>
      </c>
      <c r="J828" s="10">
        <f>DAY(Sheet1!$A828)</f>
        <v>20</v>
      </c>
      <c r="K828" s="12" t="s">
        <v>2023</v>
      </c>
      <c r="L828" s="13" t="str">
        <f t="shared" si="25"/>
        <v>Regular Customer</v>
      </c>
    </row>
    <row r="829" spans="1:12" ht="15.75" customHeight="1" x14ac:dyDescent="0.3">
      <c r="A829" s="14">
        <v>45545</v>
      </c>
      <c r="B829" s="15" t="s">
        <v>1950</v>
      </c>
      <c r="C829" s="15" t="s">
        <v>18</v>
      </c>
      <c r="D829" s="15" t="s">
        <v>14</v>
      </c>
      <c r="E829" s="16">
        <v>25.92</v>
      </c>
      <c r="F829" s="15" t="s">
        <v>10</v>
      </c>
      <c r="G829" s="15">
        <v>25.92</v>
      </c>
      <c r="H829" s="17">
        <f t="shared" si="24"/>
        <v>9</v>
      </c>
      <c r="I829" s="17">
        <f>YEAR(Sheet1!$A829)</f>
        <v>2024</v>
      </c>
      <c r="J829" s="17">
        <f>DAY(Sheet1!$A829)</f>
        <v>10</v>
      </c>
      <c r="K829" s="18" t="s">
        <v>2022</v>
      </c>
      <c r="L829" s="19" t="str">
        <f t="shared" si="25"/>
        <v>Regular Customer</v>
      </c>
    </row>
    <row r="830" spans="1:12" ht="15.75" customHeight="1" x14ac:dyDescent="0.3">
      <c r="A830" s="7">
        <v>45649</v>
      </c>
      <c r="B830" s="8" t="s">
        <v>124</v>
      </c>
      <c r="C830" s="8" t="s">
        <v>13</v>
      </c>
      <c r="D830" s="8" t="s">
        <v>14</v>
      </c>
      <c r="E830" s="9">
        <v>25.94</v>
      </c>
      <c r="F830" s="8" t="s">
        <v>11</v>
      </c>
      <c r="G830" s="8">
        <v>25.94</v>
      </c>
      <c r="H830" s="10">
        <f t="shared" si="24"/>
        <v>12</v>
      </c>
      <c r="I830" s="10">
        <f>YEAR(Sheet1!$A830)</f>
        <v>2024</v>
      </c>
      <c r="J830" s="10">
        <f>DAY(Sheet1!$A830)</f>
        <v>23</v>
      </c>
      <c r="K830" s="12" t="s">
        <v>2022</v>
      </c>
      <c r="L830" s="13" t="str">
        <f t="shared" si="25"/>
        <v>Regular Customer</v>
      </c>
    </row>
    <row r="831" spans="1:12" ht="15.75" customHeight="1" x14ac:dyDescent="0.3">
      <c r="A831" s="14">
        <v>45688</v>
      </c>
      <c r="B831" s="15" t="s">
        <v>591</v>
      </c>
      <c r="C831" s="15" t="s">
        <v>13</v>
      </c>
      <c r="D831" s="15" t="s">
        <v>16</v>
      </c>
      <c r="E831" s="16">
        <v>8.66</v>
      </c>
      <c r="F831" s="15" t="s">
        <v>11</v>
      </c>
      <c r="G831" s="15">
        <v>25.98</v>
      </c>
      <c r="H831" s="17">
        <f t="shared" si="24"/>
        <v>1</v>
      </c>
      <c r="I831" s="17">
        <f>YEAR(Sheet1!$A831)</f>
        <v>2025</v>
      </c>
      <c r="J831" s="17">
        <f>DAY(Sheet1!$A831)</f>
        <v>31</v>
      </c>
      <c r="K831" s="18" t="s">
        <v>2023</v>
      </c>
      <c r="L831" s="19" t="str">
        <f t="shared" si="25"/>
        <v>Regular Customer</v>
      </c>
    </row>
    <row r="832" spans="1:12" ht="15.75" customHeight="1" x14ac:dyDescent="0.3">
      <c r="A832" s="7">
        <v>45715</v>
      </c>
      <c r="B832" s="8" t="s">
        <v>1931</v>
      </c>
      <c r="C832" s="8" t="s">
        <v>13</v>
      </c>
      <c r="D832" s="8" t="s">
        <v>16</v>
      </c>
      <c r="E832" s="9">
        <v>12.99</v>
      </c>
      <c r="F832" s="8" t="s">
        <v>10</v>
      </c>
      <c r="G832" s="8">
        <v>25.98</v>
      </c>
      <c r="H832" s="10">
        <f t="shared" si="24"/>
        <v>2</v>
      </c>
      <c r="I832" s="10">
        <f>YEAR(Sheet1!$A832)</f>
        <v>2025</v>
      </c>
      <c r="J832" s="10">
        <f>DAY(Sheet1!$A832)</f>
        <v>27</v>
      </c>
      <c r="K832" s="12" t="s">
        <v>2022</v>
      </c>
      <c r="L832" s="13" t="str">
        <f t="shared" si="25"/>
        <v>Regular Customer</v>
      </c>
    </row>
    <row r="833" spans="1:12" ht="15.75" customHeight="1" x14ac:dyDescent="0.3">
      <c r="A833" s="14">
        <v>45527</v>
      </c>
      <c r="B833" s="15" t="s">
        <v>1796</v>
      </c>
      <c r="C833" s="15" t="s">
        <v>24</v>
      </c>
      <c r="D833" s="15" t="s">
        <v>9</v>
      </c>
      <c r="E833" s="16">
        <v>26</v>
      </c>
      <c r="F833" s="15" t="s">
        <v>11</v>
      </c>
      <c r="G833" s="15">
        <v>26</v>
      </c>
      <c r="H833" s="17">
        <f t="shared" si="24"/>
        <v>8</v>
      </c>
      <c r="I833" s="17">
        <f>YEAR(Sheet1!$A833)</f>
        <v>2024</v>
      </c>
      <c r="J833" s="17">
        <f>DAY(Sheet1!$A833)</f>
        <v>23</v>
      </c>
      <c r="K833" s="18" t="s">
        <v>2022</v>
      </c>
      <c r="L833" s="19" t="str">
        <f t="shared" si="25"/>
        <v>Regular Customer</v>
      </c>
    </row>
    <row r="834" spans="1:12" ht="15.75" customHeight="1" x14ac:dyDescent="0.3">
      <c r="A834" s="7">
        <v>45622</v>
      </c>
      <c r="B834" s="8" t="s">
        <v>903</v>
      </c>
      <c r="C834" s="8" t="s">
        <v>24</v>
      </c>
      <c r="D834" s="8" t="s">
        <v>9</v>
      </c>
      <c r="E834" s="9">
        <v>13</v>
      </c>
      <c r="F834" s="8" t="s">
        <v>11</v>
      </c>
      <c r="G834" s="8">
        <v>26</v>
      </c>
      <c r="H834" s="10">
        <f t="shared" ref="H834:H897" si="26">MONTH(A834)</f>
        <v>11</v>
      </c>
      <c r="I834" s="10">
        <f>YEAR(Sheet1!$A834)</f>
        <v>2024</v>
      </c>
      <c r="J834" s="10">
        <f>DAY(Sheet1!$A834)</f>
        <v>26</v>
      </c>
      <c r="K834" s="12" t="s">
        <v>2023</v>
      </c>
      <c r="L834" s="13" t="str">
        <f t="shared" ref="L834:L897" si="27">IF(G834&gt;50,"Premium Customer","Regular Customer")</f>
        <v>Regular Customer</v>
      </c>
    </row>
    <row r="835" spans="1:12" ht="15.75" customHeight="1" x14ac:dyDescent="0.3">
      <c r="A835" s="14">
        <v>45576</v>
      </c>
      <c r="B835" s="15" t="s">
        <v>1823</v>
      </c>
      <c r="C835" s="15" t="s">
        <v>13</v>
      </c>
      <c r="D835" s="15" t="s">
        <v>9</v>
      </c>
      <c r="E835" s="16">
        <v>26.01</v>
      </c>
      <c r="F835" s="15" t="s">
        <v>10</v>
      </c>
      <c r="G835" s="15">
        <v>26.01</v>
      </c>
      <c r="H835" s="17">
        <f t="shared" si="26"/>
        <v>10</v>
      </c>
      <c r="I835" s="17">
        <f>YEAR(Sheet1!$A835)</f>
        <v>2024</v>
      </c>
      <c r="J835" s="17">
        <f>DAY(Sheet1!$A835)</f>
        <v>11</v>
      </c>
      <c r="K835" s="18" t="s">
        <v>2023</v>
      </c>
      <c r="L835" s="19" t="str">
        <f t="shared" si="27"/>
        <v>Regular Customer</v>
      </c>
    </row>
    <row r="836" spans="1:12" ht="15.75" customHeight="1" x14ac:dyDescent="0.3">
      <c r="A836" s="7">
        <v>45453</v>
      </c>
      <c r="B836" s="8" t="s">
        <v>471</v>
      </c>
      <c r="C836" s="8" t="s">
        <v>8</v>
      </c>
      <c r="D836" s="8" t="s">
        <v>14</v>
      </c>
      <c r="E836" s="9">
        <v>8.6999999999999993</v>
      </c>
      <c r="F836" s="8" t="s">
        <v>10</v>
      </c>
      <c r="G836" s="8">
        <v>26.1</v>
      </c>
      <c r="H836" s="10">
        <f t="shared" si="26"/>
        <v>6</v>
      </c>
      <c r="I836" s="10">
        <f>YEAR(Sheet1!$A836)</f>
        <v>2024</v>
      </c>
      <c r="J836" s="10">
        <f>DAY(Sheet1!$A836)</f>
        <v>10</v>
      </c>
      <c r="K836" s="12" t="s">
        <v>2023</v>
      </c>
      <c r="L836" s="13" t="str">
        <f t="shared" si="27"/>
        <v>Regular Customer</v>
      </c>
    </row>
    <row r="837" spans="1:12" ht="15.75" customHeight="1" x14ac:dyDescent="0.3">
      <c r="A837" s="14">
        <v>45752</v>
      </c>
      <c r="B837" s="15" t="s">
        <v>1445</v>
      </c>
      <c r="C837" s="15" t="s">
        <v>13</v>
      </c>
      <c r="D837" s="15" t="s">
        <v>19</v>
      </c>
      <c r="E837" s="16">
        <v>26.12</v>
      </c>
      <c r="F837" s="15" t="s">
        <v>10</v>
      </c>
      <c r="G837" s="15">
        <v>26.12</v>
      </c>
      <c r="H837" s="17">
        <f t="shared" si="26"/>
        <v>4</v>
      </c>
      <c r="I837" s="17">
        <f>YEAR(Sheet1!$A837)</f>
        <v>2025</v>
      </c>
      <c r="J837" s="17">
        <f>DAY(Sheet1!$A837)</f>
        <v>5</v>
      </c>
      <c r="K837" s="18" t="s">
        <v>2023</v>
      </c>
      <c r="L837" s="19" t="str">
        <f t="shared" si="27"/>
        <v>Regular Customer</v>
      </c>
    </row>
    <row r="838" spans="1:12" ht="15.75" customHeight="1" x14ac:dyDescent="0.3">
      <c r="A838" s="7">
        <v>45533</v>
      </c>
      <c r="B838" s="8" t="s">
        <v>1487</v>
      </c>
      <c r="C838" s="8" t="s">
        <v>24</v>
      </c>
      <c r="D838" s="8" t="s">
        <v>16</v>
      </c>
      <c r="E838" s="9">
        <v>13.08</v>
      </c>
      <c r="F838" s="8" t="s">
        <v>10</v>
      </c>
      <c r="G838" s="8">
        <v>26.16</v>
      </c>
      <c r="H838" s="10">
        <f t="shared" si="26"/>
        <v>8</v>
      </c>
      <c r="I838" s="10">
        <f>YEAR(Sheet1!$A838)</f>
        <v>2024</v>
      </c>
      <c r="J838" s="10">
        <f>DAY(Sheet1!$A838)</f>
        <v>29</v>
      </c>
      <c r="K838" s="12" t="s">
        <v>2022</v>
      </c>
      <c r="L838" s="13" t="str">
        <f t="shared" si="27"/>
        <v>Regular Customer</v>
      </c>
    </row>
    <row r="839" spans="1:12" ht="15.75" customHeight="1" x14ac:dyDescent="0.3">
      <c r="A839" s="14">
        <v>45536</v>
      </c>
      <c r="B839" s="15" t="s">
        <v>1815</v>
      </c>
      <c r="C839" s="15" t="s">
        <v>24</v>
      </c>
      <c r="D839" s="15" t="s">
        <v>14</v>
      </c>
      <c r="E839" s="16">
        <v>26.17</v>
      </c>
      <c r="F839" s="15" t="s">
        <v>10</v>
      </c>
      <c r="G839" s="15">
        <v>26.17</v>
      </c>
      <c r="H839" s="17">
        <f t="shared" si="26"/>
        <v>9</v>
      </c>
      <c r="I839" s="17">
        <f>YEAR(Sheet1!$A839)</f>
        <v>2024</v>
      </c>
      <c r="J839" s="17">
        <f>DAY(Sheet1!$A839)</f>
        <v>1</v>
      </c>
      <c r="K839" s="18" t="s">
        <v>2022</v>
      </c>
      <c r="L839" s="19" t="str">
        <f t="shared" si="27"/>
        <v>Regular Customer</v>
      </c>
    </row>
    <row r="840" spans="1:12" ht="15.75" customHeight="1" x14ac:dyDescent="0.3">
      <c r="A840" s="7">
        <v>45699</v>
      </c>
      <c r="B840" s="8" t="s">
        <v>936</v>
      </c>
      <c r="C840" s="8" t="s">
        <v>13</v>
      </c>
      <c r="D840" s="8" t="s">
        <v>16</v>
      </c>
      <c r="E840" s="9">
        <v>26.18</v>
      </c>
      <c r="F840" s="8" t="s">
        <v>10</v>
      </c>
      <c r="G840" s="8">
        <v>26.18</v>
      </c>
      <c r="H840" s="10">
        <f t="shared" si="26"/>
        <v>2</v>
      </c>
      <c r="I840" s="10">
        <f>YEAR(Sheet1!$A840)</f>
        <v>2025</v>
      </c>
      <c r="J840" s="10">
        <f>DAY(Sheet1!$A840)</f>
        <v>11</v>
      </c>
      <c r="K840" s="12" t="s">
        <v>2022</v>
      </c>
      <c r="L840" s="13" t="str">
        <f t="shared" si="27"/>
        <v>Regular Customer</v>
      </c>
    </row>
    <row r="841" spans="1:12" ht="15.75" customHeight="1" x14ac:dyDescent="0.3">
      <c r="A841" s="14">
        <v>45474</v>
      </c>
      <c r="B841" s="15" t="s">
        <v>1609</v>
      </c>
      <c r="C841" s="15" t="s">
        <v>8</v>
      </c>
      <c r="D841" s="15" t="s">
        <v>14</v>
      </c>
      <c r="E841" s="16">
        <v>26.23</v>
      </c>
      <c r="F841" s="15" t="s">
        <v>11</v>
      </c>
      <c r="G841" s="15">
        <v>26.23</v>
      </c>
      <c r="H841" s="17">
        <f t="shared" si="26"/>
        <v>7</v>
      </c>
      <c r="I841" s="17">
        <f>YEAR(Sheet1!$A841)</f>
        <v>2024</v>
      </c>
      <c r="J841" s="17">
        <f>DAY(Sheet1!$A841)</f>
        <v>1</v>
      </c>
      <c r="K841" s="18" t="s">
        <v>2022</v>
      </c>
      <c r="L841" s="19" t="str">
        <f t="shared" si="27"/>
        <v>Regular Customer</v>
      </c>
    </row>
    <row r="842" spans="1:12" ht="15.75" customHeight="1" x14ac:dyDescent="0.3">
      <c r="A842" s="7">
        <v>45504</v>
      </c>
      <c r="B842" s="8" t="s">
        <v>776</v>
      </c>
      <c r="C842" s="8" t="s">
        <v>8</v>
      </c>
      <c r="D842" s="8" t="s">
        <v>9</v>
      </c>
      <c r="E842" s="9">
        <v>26.26</v>
      </c>
      <c r="F842" s="8" t="s">
        <v>10</v>
      </c>
      <c r="G842" s="8">
        <v>26.26</v>
      </c>
      <c r="H842" s="10">
        <f t="shared" si="26"/>
        <v>7</v>
      </c>
      <c r="I842" s="10">
        <f>YEAR(Sheet1!$A842)</f>
        <v>2024</v>
      </c>
      <c r="J842" s="10">
        <f>DAY(Sheet1!$A842)</f>
        <v>31</v>
      </c>
      <c r="K842" s="12" t="s">
        <v>2023</v>
      </c>
      <c r="L842" s="13" t="str">
        <f t="shared" si="27"/>
        <v>Regular Customer</v>
      </c>
    </row>
    <row r="843" spans="1:12" ht="15.75" customHeight="1" x14ac:dyDescent="0.3">
      <c r="A843" s="14">
        <v>45694</v>
      </c>
      <c r="B843" s="15" t="s">
        <v>513</v>
      </c>
      <c r="C843" s="15" t="s">
        <v>8</v>
      </c>
      <c r="D843" s="15" t="s">
        <v>19</v>
      </c>
      <c r="E843" s="16">
        <v>8.76</v>
      </c>
      <c r="F843" s="15" t="s">
        <v>11</v>
      </c>
      <c r="G843" s="15">
        <v>26.28</v>
      </c>
      <c r="H843" s="17">
        <f t="shared" si="26"/>
        <v>2</v>
      </c>
      <c r="I843" s="17">
        <f>YEAR(Sheet1!$A843)</f>
        <v>2025</v>
      </c>
      <c r="J843" s="17">
        <f>DAY(Sheet1!$A843)</f>
        <v>6</v>
      </c>
      <c r="K843" s="18" t="s">
        <v>2023</v>
      </c>
      <c r="L843" s="19" t="str">
        <f t="shared" si="27"/>
        <v>Regular Customer</v>
      </c>
    </row>
    <row r="844" spans="1:12" ht="15.75" customHeight="1" x14ac:dyDescent="0.3">
      <c r="A844" s="7">
        <v>45766</v>
      </c>
      <c r="B844" s="8" t="s">
        <v>1819</v>
      </c>
      <c r="C844" s="8" t="s">
        <v>13</v>
      </c>
      <c r="D844" s="8" t="s">
        <v>14</v>
      </c>
      <c r="E844" s="9">
        <v>8.77</v>
      </c>
      <c r="F844" s="8" t="s">
        <v>10</v>
      </c>
      <c r="G844" s="8">
        <v>26.31</v>
      </c>
      <c r="H844" s="10">
        <f t="shared" si="26"/>
        <v>4</v>
      </c>
      <c r="I844" s="10">
        <f>YEAR(Sheet1!$A844)</f>
        <v>2025</v>
      </c>
      <c r="J844" s="10">
        <f>DAY(Sheet1!$A844)</f>
        <v>19</v>
      </c>
      <c r="K844" s="12" t="s">
        <v>2023</v>
      </c>
      <c r="L844" s="13" t="str">
        <f t="shared" si="27"/>
        <v>Regular Customer</v>
      </c>
    </row>
    <row r="845" spans="1:12" ht="15.75" customHeight="1" x14ac:dyDescent="0.3">
      <c r="A845" s="14">
        <v>45497</v>
      </c>
      <c r="B845" s="15" t="s">
        <v>653</v>
      </c>
      <c r="C845" s="15" t="s">
        <v>18</v>
      </c>
      <c r="D845" s="15" t="s">
        <v>16</v>
      </c>
      <c r="E845" s="16">
        <v>26.34</v>
      </c>
      <c r="F845" s="15" t="s">
        <v>10</v>
      </c>
      <c r="G845" s="15">
        <v>26.34</v>
      </c>
      <c r="H845" s="17">
        <f t="shared" si="26"/>
        <v>7</v>
      </c>
      <c r="I845" s="17">
        <f>YEAR(Sheet1!$A845)</f>
        <v>2024</v>
      </c>
      <c r="J845" s="17">
        <f>DAY(Sheet1!$A845)</f>
        <v>24</v>
      </c>
      <c r="K845" s="18" t="s">
        <v>2022</v>
      </c>
      <c r="L845" s="19" t="str">
        <f t="shared" si="27"/>
        <v>Regular Customer</v>
      </c>
    </row>
    <row r="846" spans="1:12" ht="15.75" customHeight="1" x14ac:dyDescent="0.3">
      <c r="A846" s="7">
        <v>45517</v>
      </c>
      <c r="B846" s="8" t="s">
        <v>1888</v>
      </c>
      <c r="C846" s="8" t="s">
        <v>24</v>
      </c>
      <c r="D846" s="8" t="s">
        <v>19</v>
      </c>
      <c r="E846" s="9">
        <v>26.34</v>
      </c>
      <c r="F846" s="8" t="s">
        <v>11</v>
      </c>
      <c r="G846" s="8">
        <v>26.34</v>
      </c>
      <c r="H846" s="10">
        <f t="shared" si="26"/>
        <v>8</v>
      </c>
      <c r="I846" s="10">
        <f>YEAR(Sheet1!$A846)</f>
        <v>2024</v>
      </c>
      <c r="J846" s="10">
        <f>DAY(Sheet1!$A846)</f>
        <v>13</v>
      </c>
      <c r="K846" s="12" t="s">
        <v>2023</v>
      </c>
      <c r="L846" s="13" t="str">
        <f t="shared" si="27"/>
        <v>Regular Customer</v>
      </c>
    </row>
    <row r="847" spans="1:12" ht="15.75" customHeight="1" x14ac:dyDescent="0.3">
      <c r="A847" s="14">
        <v>45612</v>
      </c>
      <c r="B847" s="15" t="s">
        <v>934</v>
      </c>
      <c r="C847" s="15" t="s">
        <v>13</v>
      </c>
      <c r="D847" s="15" t="s">
        <v>14</v>
      </c>
      <c r="E847" s="16">
        <v>13.17</v>
      </c>
      <c r="F847" s="15" t="s">
        <v>10</v>
      </c>
      <c r="G847" s="15">
        <v>26.34</v>
      </c>
      <c r="H847" s="17">
        <f t="shared" si="26"/>
        <v>11</v>
      </c>
      <c r="I847" s="17">
        <f>YEAR(Sheet1!$A847)</f>
        <v>2024</v>
      </c>
      <c r="J847" s="17">
        <f>DAY(Sheet1!$A847)</f>
        <v>16</v>
      </c>
      <c r="K847" s="18" t="s">
        <v>2023</v>
      </c>
      <c r="L847" s="19" t="str">
        <f t="shared" si="27"/>
        <v>Regular Customer</v>
      </c>
    </row>
    <row r="848" spans="1:12" ht="15.75" customHeight="1" x14ac:dyDescent="0.3">
      <c r="A848" s="7">
        <v>45754</v>
      </c>
      <c r="B848" s="8" t="s">
        <v>1087</v>
      </c>
      <c r="C848" s="8" t="s">
        <v>8</v>
      </c>
      <c r="D848" s="8" t="s">
        <v>19</v>
      </c>
      <c r="E848" s="9">
        <v>8.7799999999999994</v>
      </c>
      <c r="F848" s="8" t="s">
        <v>11</v>
      </c>
      <c r="G848" s="8">
        <v>26.34</v>
      </c>
      <c r="H848" s="10">
        <f t="shared" si="26"/>
        <v>4</v>
      </c>
      <c r="I848" s="10">
        <f>YEAR(Sheet1!$A848)</f>
        <v>2025</v>
      </c>
      <c r="J848" s="10">
        <f>DAY(Sheet1!$A848)</f>
        <v>7</v>
      </c>
      <c r="K848" s="12" t="s">
        <v>2022</v>
      </c>
      <c r="L848" s="13" t="str">
        <f t="shared" si="27"/>
        <v>Regular Customer</v>
      </c>
    </row>
    <row r="849" spans="1:12" ht="15.75" customHeight="1" x14ac:dyDescent="0.3">
      <c r="A849" s="14">
        <v>45434</v>
      </c>
      <c r="B849" s="15" t="s">
        <v>1026</v>
      </c>
      <c r="C849" s="15" t="s">
        <v>8</v>
      </c>
      <c r="D849" s="15" t="s">
        <v>14</v>
      </c>
      <c r="E849" s="16">
        <v>26.35</v>
      </c>
      <c r="F849" s="15" t="s">
        <v>11</v>
      </c>
      <c r="G849" s="15">
        <v>26.35</v>
      </c>
      <c r="H849" s="17">
        <f t="shared" si="26"/>
        <v>5</v>
      </c>
      <c r="I849" s="17">
        <f>YEAR(Sheet1!$A849)</f>
        <v>2024</v>
      </c>
      <c r="J849" s="17">
        <f>DAY(Sheet1!$A849)</f>
        <v>22</v>
      </c>
      <c r="K849" s="18" t="s">
        <v>2022</v>
      </c>
      <c r="L849" s="19" t="str">
        <f t="shared" si="27"/>
        <v>Regular Customer</v>
      </c>
    </row>
    <row r="850" spans="1:12" ht="15.75" customHeight="1" x14ac:dyDescent="0.3">
      <c r="A850" s="7">
        <v>45621</v>
      </c>
      <c r="B850" s="8" t="s">
        <v>1747</v>
      </c>
      <c r="C850" s="8" t="s">
        <v>8</v>
      </c>
      <c r="D850" s="8" t="s">
        <v>14</v>
      </c>
      <c r="E850" s="9">
        <v>26.38</v>
      </c>
      <c r="F850" s="8" t="s">
        <v>10</v>
      </c>
      <c r="G850" s="8">
        <v>26.38</v>
      </c>
      <c r="H850" s="10">
        <f t="shared" si="26"/>
        <v>11</v>
      </c>
      <c r="I850" s="10">
        <f>YEAR(Sheet1!$A850)</f>
        <v>2024</v>
      </c>
      <c r="J850" s="10">
        <f>DAY(Sheet1!$A850)</f>
        <v>25</v>
      </c>
      <c r="K850" s="12" t="s">
        <v>2022</v>
      </c>
      <c r="L850" s="13" t="str">
        <f t="shared" si="27"/>
        <v>Regular Customer</v>
      </c>
    </row>
    <row r="851" spans="1:12" ht="15.75" customHeight="1" x14ac:dyDescent="0.3">
      <c r="A851" s="14">
        <v>45741</v>
      </c>
      <c r="B851" s="15" t="s">
        <v>1189</v>
      </c>
      <c r="C851" s="15" t="s">
        <v>13</v>
      </c>
      <c r="D851" s="15" t="s">
        <v>9</v>
      </c>
      <c r="E851" s="16">
        <v>26.38</v>
      </c>
      <c r="F851" s="15" t="s">
        <v>11</v>
      </c>
      <c r="G851" s="15">
        <v>26.38</v>
      </c>
      <c r="H851" s="17">
        <f t="shared" si="26"/>
        <v>3</v>
      </c>
      <c r="I851" s="17">
        <f>YEAR(Sheet1!$A851)</f>
        <v>2025</v>
      </c>
      <c r="J851" s="17">
        <f>DAY(Sheet1!$A851)</f>
        <v>25</v>
      </c>
      <c r="K851" s="18" t="s">
        <v>2023</v>
      </c>
      <c r="L851" s="19" t="str">
        <f t="shared" si="27"/>
        <v>Regular Customer</v>
      </c>
    </row>
    <row r="852" spans="1:12" ht="15.75" customHeight="1" x14ac:dyDescent="0.3">
      <c r="A852" s="7">
        <v>45765</v>
      </c>
      <c r="B852" s="8" t="s">
        <v>1225</v>
      </c>
      <c r="C852" s="8" t="s">
        <v>24</v>
      </c>
      <c r="D852" s="8" t="s">
        <v>16</v>
      </c>
      <c r="E852" s="9">
        <v>13.19</v>
      </c>
      <c r="F852" s="8" t="s">
        <v>11</v>
      </c>
      <c r="G852" s="8">
        <v>26.38</v>
      </c>
      <c r="H852" s="10">
        <f t="shared" si="26"/>
        <v>4</v>
      </c>
      <c r="I852" s="10">
        <f>YEAR(Sheet1!$A852)</f>
        <v>2025</v>
      </c>
      <c r="J852" s="10">
        <f>DAY(Sheet1!$A852)</f>
        <v>18</v>
      </c>
      <c r="K852" s="12" t="s">
        <v>2023</v>
      </c>
      <c r="L852" s="13" t="str">
        <f t="shared" si="27"/>
        <v>Regular Customer</v>
      </c>
    </row>
    <row r="853" spans="1:12" ht="15.75" customHeight="1" x14ac:dyDescent="0.3">
      <c r="A853" s="14">
        <v>45681</v>
      </c>
      <c r="B853" s="15" t="s">
        <v>1208</v>
      </c>
      <c r="C853" s="15" t="s">
        <v>18</v>
      </c>
      <c r="D853" s="15" t="s">
        <v>16</v>
      </c>
      <c r="E853" s="16">
        <v>8.8000000000000007</v>
      </c>
      <c r="F853" s="15" t="s">
        <v>10</v>
      </c>
      <c r="G853" s="15">
        <v>26.4</v>
      </c>
      <c r="H853" s="17">
        <f t="shared" si="26"/>
        <v>1</v>
      </c>
      <c r="I853" s="17">
        <f>YEAR(Sheet1!$A853)</f>
        <v>2025</v>
      </c>
      <c r="J853" s="17">
        <f>DAY(Sheet1!$A853)</f>
        <v>24</v>
      </c>
      <c r="K853" s="18" t="s">
        <v>2022</v>
      </c>
      <c r="L853" s="19" t="str">
        <f t="shared" si="27"/>
        <v>Regular Customer</v>
      </c>
    </row>
    <row r="854" spans="1:12" ht="15.75" customHeight="1" x14ac:dyDescent="0.3">
      <c r="A854" s="7">
        <v>45665</v>
      </c>
      <c r="B854" s="8" t="s">
        <v>955</v>
      </c>
      <c r="C854" s="8" t="s">
        <v>18</v>
      </c>
      <c r="D854" s="8" t="s">
        <v>9</v>
      </c>
      <c r="E854" s="9">
        <v>26.41</v>
      </c>
      <c r="F854" s="8" t="s">
        <v>10</v>
      </c>
      <c r="G854" s="8">
        <v>26.41</v>
      </c>
      <c r="H854" s="10">
        <f t="shared" si="26"/>
        <v>1</v>
      </c>
      <c r="I854" s="10">
        <f>YEAR(Sheet1!$A854)</f>
        <v>2025</v>
      </c>
      <c r="J854" s="10">
        <f>DAY(Sheet1!$A854)</f>
        <v>8</v>
      </c>
      <c r="K854" s="12" t="s">
        <v>2022</v>
      </c>
      <c r="L854" s="13" t="str">
        <f t="shared" si="27"/>
        <v>Regular Customer</v>
      </c>
    </row>
    <row r="855" spans="1:12" ht="15.75" customHeight="1" x14ac:dyDescent="0.3">
      <c r="A855" s="14">
        <v>45764</v>
      </c>
      <c r="B855" s="15" t="s">
        <v>152</v>
      </c>
      <c r="C855" s="15" t="s">
        <v>24</v>
      </c>
      <c r="D855" s="15" t="s">
        <v>14</v>
      </c>
      <c r="E855" s="16">
        <v>13.21</v>
      </c>
      <c r="F855" s="15" t="s">
        <v>11</v>
      </c>
      <c r="G855" s="15">
        <v>26.42</v>
      </c>
      <c r="H855" s="17">
        <f t="shared" si="26"/>
        <v>4</v>
      </c>
      <c r="I855" s="17">
        <f>YEAR(Sheet1!$A855)</f>
        <v>2025</v>
      </c>
      <c r="J855" s="17">
        <f>DAY(Sheet1!$A855)</f>
        <v>17</v>
      </c>
      <c r="K855" s="18" t="s">
        <v>2022</v>
      </c>
      <c r="L855" s="19" t="str">
        <f t="shared" si="27"/>
        <v>Regular Customer</v>
      </c>
    </row>
    <row r="856" spans="1:12" ht="15.75" customHeight="1" x14ac:dyDescent="0.3">
      <c r="A856" s="7">
        <v>45471</v>
      </c>
      <c r="B856" s="8" t="s">
        <v>185</v>
      </c>
      <c r="C856" s="8" t="s">
        <v>18</v>
      </c>
      <c r="D856" s="8" t="s">
        <v>14</v>
      </c>
      <c r="E856" s="9">
        <v>26.44</v>
      </c>
      <c r="F856" s="8" t="s">
        <v>10</v>
      </c>
      <c r="G856" s="8">
        <v>26.44</v>
      </c>
      <c r="H856" s="10">
        <f t="shared" si="26"/>
        <v>6</v>
      </c>
      <c r="I856" s="10">
        <f>YEAR(Sheet1!$A856)</f>
        <v>2024</v>
      </c>
      <c r="J856" s="10">
        <f>DAY(Sheet1!$A856)</f>
        <v>28</v>
      </c>
      <c r="K856" s="12" t="s">
        <v>2022</v>
      </c>
      <c r="L856" s="13" t="str">
        <f t="shared" si="27"/>
        <v>Regular Customer</v>
      </c>
    </row>
    <row r="857" spans="1:12" ht="15.75" customHeight="1" x14ac:dyDescent="0.3">
      <c r="A857" s="14">
        <v>45677</v>
      </c>
      <c r="B857" s="15" t="s">
        <v>1597</v>
      </c>
      <c r="C857" s="15" t="s">
        <v>18</v>
      </c>
      <c r="D857" s="15" t="s">
        <v>9</v>
      </c>
      <c r="E857" s="16">
        <v>26.46</v>
      </c>
      <c r="F857" s="15" t="s">
        <v>10</v>
      </c>
      <c r="G857" s="15">
        <v>26.46</v>
      </c>
      <c r="H857" s="17">
        <f t="shared" si="26"/>
        <v>1</v>
      </c>
      <c r="I857" s="17">
        <f>YEAR(Sheet1!$A857)</f>
        <v>2025</v>
      </c>
      <c r="J857" s="17">
        <f>DAY(Sheet1!$A857)</f>
        <v>20</v>
      </c>
      <c r="K857" s="18" t="s">
        <v>2023</v>
      </c>
      <c r="L857" s="19" t="str">
        <f t="shared" si="27"/>
        <v>Regular Customer</v>
      </c>
    </row>
    <row r="858" spans="1:12" ht="15.75" customHeight="1" x14ac:dyDescent="0.3">
      <c r="A858" s="7">
        <v>45722</v>
      </c>
      <c r="B858" s="8" t="s">
        <v>200</v>
      </c>
      <c r="C858" s="8" t="s">
        <v>18</v>
      </c>
      <c r="D858" s="8" t="s">
        <v>16</v>
      </c>
      <c r="E858" s="9">
        <v>13.23</v>
      </c>
      <c r="F858" s="8" t="s">
        <v>10</v>
      </c>
      <c r="G858" s="8">
        <v>26.46</v>
      </c>
      <c r="H858" s="10">
        <f t="shared" si="26"/>
        <v>3</v>
      </c>
      <c r="I858" s="10">
        <f>YEAR(Sheet1!$A858)</f>
        <v>2025</v>
      </c>
      <c r="J858" s="10">
        <f>DAY(Sheet1!$A858)</f>
        <v>6</v>
      </c>
      <c r="K858" s="12" t="s">
        <v>2022</v>
      </c>
      <c r="L858" s="13" t="str">
        <f t="shared" si="27"/>
        <v>Regular Customer</v>
      </c>
    </row>
    <row r="859" spans="1:12" ht="15.75" customHeight="1" x14ac:dyDescent="0.3">
      <c r="A859" s="14">
        <v>45525</v>
      </c>
      <c r="B859" s="15" t="s">
        <v>71</v>
      </c>
      <c r="C859" s="15" t="s">
        <v>18</v>
      </c>
      <c r="D859" s="15" t="s">
        <v>16</v>
      </c>
      <c r="E859" s="16">
        <v>26.49</v>
      </c>
      <c r="F859" s="15" t="s">
        <v>10</v>
      </c>
      <c r="G859" s="15">
        <v>26.49</v>
      </c>
      <c r="H859" s="17">
        <f t="shared" si="26"/>
        <v>8</v>
      </c>
      <c r="I859" s="17">
        <f>YEAR(Sheet1!$A859)</f>
        <v>2024</v>
      </c>
      <c r="J859" s="17">
        <f>DAY(Sheet1!$A859)</f>
        <v>21</v>
      </c>
      <c r="K859" s="18" t="s">
        <v>2023</v>
      </c>
      <c r="L859" s="19" t="str">
        <f t="shared" si="27"/>
        <v>Regular Customer</v>
      </c>
    </row>
    <row r="860" spans="1:12" ht="15.75" customHeight="1" x14ac:dyDescent="0.3">
      <c r="A860" s="7">
        <v>45455</v>
      </c>
      <c r="B860" s="8" t="s">
        <v>1152</v>
      </c>
      <c r="C860" s="8" t="s">
        <v>24</v>
      </c>
      <c r="D860" s="8" t="s">
        <v>14</v>
      </c>
      <c r="E860" s="9">
        <v>26.55</v>
      </c>
      <c r="F860" s="8" t="s">
        <v>10</v>
      </c>
      <c r="G860" s="8">
        <v>26.55</v>
      </c>
      <c r="H860" s="10">
        <f t="shared" si="26"/>
        <v>6</v>
      </c>
      <c r="I860" s="10">
        <f>YEAR(Sheet1!$A860)</f>
        <v>2024</v>
      </c>
      <c r="J860" s="10">
        <f>DAY(Sheet1!$A860)</f>
        <v>12</v>
      </c>
      <c r="K860" s="12" t="s">
        <v>2023</v>
      </c>
      <c r="L860" s="13" t="str">
        <f t="shared" si="27"/>
        <v>Regular Customer</v>
      </c>
    </row>
    <row r="861" spans="1:12" ht="15.75" customHeight="1" x14ac:dyDescent="0.3">
      <c r="A861" s="14">
        <v>45557</v>
      </c>
      <c r="B861" s="15" t="s">
        <v>1100</v>
      </c>
      <c r="C861" s="15" t="s">
        <v>8</v>
      </c>
      <c r="D861" s="15" t="s">
        <v>19</v>
      </c>
      <c r="E861" s="16">
        <v>13.28</v>
      </c>
      <c r="F861" s="15" t="s">
        <v>10</v>
      </c>
      <c r="G861" s="15">
        <v>26.56</v>
      </c>
      <c r="H861" s="17">
        <f t="shared" si="26"/>
        <v>9</v>
      </c>
      <c r="I861" s="17">
        <f>YEAR(Sheet1!$A861)</f>
        <v>2024</v>
      </c>
      <c r="J861" s="17">
        <f>DAY(Sheet1!$A861)</f>
        <v>22</v>
      </c>
      <c r="K861" s="18" t="s">
        <v>2022</v>
      </c>
      <c r="L861" s="19" t="str">
        <f t="shared" si="27"/>
        <v>Regular Customer</v>
      </c>
    </row>
    <row r="862" spans="1:12" ht="15.75" customHeight="1" x14ac:dyDescent="0.3">
      <c r="A862" s="7">
        <v>45609</v>
      </c>
      <c r="B862" s="8" t="s">
        <v>1859</v>
      </c>
      <c r="C862" s="8" t="s">
        <v>13</v>
      </c>
      <c r="D862" s="8" t="s">
        <v>14</v>
      </c>
      <c r="E862" s="9">
        <v>26.57</v>
      </c>
      <c r="F862" s="8" t="s">
        <v>11</v>
      </c>
      <c r="G862" s="8">
        <v>26.57</v>
      </c>
      <c r="H862" s="10">
        <f t="shared" si="26"/>
        <v>11</v>
      </c>
      <c r="I862" s="10">
        <f>YEAR(Sheet1!$A862)</f>
        <v>2024</v>
      </c>
      <c r="J862" s="10">
        <f>DAY(Sheet1!$A862)</f>
        <v>13</v>
      </c>
      <c r="K862" s="12" t="s">
        <v>2022</v>
      </c>
      <c r="L862" s="13" t="str">
        <f t="shared" si="27"/>
        <v>Regular Customer</v>
      </c>
    </row>
    <row r="863" spans="1:12" ht="15.75" customHeight="1" x14ac:dyDescent="0.3">
      <c r="A863" s="14">
        <v>45717</v>
      </c>
      <c r="B863" s="15" t="s">
        <v>234</v>
      </c>
      <c r="C863" s="15" t="s">
        <v>13</v>
      </c>
      <c r="D863" s="15" t="s">
        <v>9</v>
      </c>
      <c r="E863" s="16">
        <v>26.6</v>
      </c>
      <c r="F863" s="15" t="s">
        <v>11</v>
      </c>
      <c r="G863" s="15">
        <v>26.6</v>
      </c>
      <c r="H863" s="17">
        <f t="shared" si="26"/>
        <v>3</v>
      </c>
      <c r="I863" s="17">
        <f>YEAR(Sheet1!$A863)</f>
        <v>2025</v>
      </c>
      <c r="J863" s="17">
        <f>DAY(Sheet1!$A863)</f>
        <v>1</v>
      </c>
      <c r="K863" s="18" t="s">
        <v>2022</v>
      </c>
      <c r="L863" s="19" t="str">
        <f t="shared" si="27"/>
        <v>Regular Customer</v>
      </c>
    </row>
    <row r="864" spans="1:12" ht="15.75" customHeight="1" x14ac:dyDescent="0.3">
      <c r="A864" s="7">
        <v>45618</v>
      </c>
      <c r="B864" s="8" t="s">
        <v>1983</v>
      </c>
      <c r="C864" s="8" t="s">
        <v>24</v>
      </c>
      <c r="D864" s="8" t="s">
        <v>16</v>
      </c>
      <c r="E864" s="9">
        <v>8.8699999999999992</v>
      </c>
      <c r="F864" s="8" t="s">
        <v>10</v>
      </c>
      <c r="G864" s="8">
        <v>26.61</v>
      </c>
      <c r="H864" s="10">
        <f t="shared" si="26"/>
        <v>11</v>
      </c>
      <c r="I864" s="10">
        <f>YEAR(Sheet1!$A864)</f>
        <v>2024</v>
      </c>
      <c r="J864" s="10">
        <f>DAY(Sheet1!$A864)</f>
        <v>22</v>
      </c>
      <c r="K864" s="12" t="s">
        <v>2022</v>
      </c>
      <c r="L864" s="13" t="str">
        <f t="shared" si="27"/>
        <v>Regular Customer</v>
      </c>
    </row>
    <row r="865" spans="1:12" ht="15.75" customHeight="1" x14ac:dyDescent="0.3">
      <c r="A865" s="14">
        <v>45669</v>
      </c>
      <c r="B865" s="15" t="s">
        <v>443</v>
      </c>
      <c r="C865" s="15" t="s">
        <v>24</v>
      </c>
      <c r="D865" s="15" t="s">
        <v>19</v>
      </c>
      <c r="E865" s="16">
        <v>26.62</v>
      </c>
      <c r="F865" s="15" t="s">
        <v>10</v>
      </c>
      <c r="G865" s="15">
        <v>26.62</v>
      </c>
      <c r="H865" s="17">
        <f t="shared" si="26"/>
        <v>1</v>
      </c>
      <c r="I865" s="17">
        <f>YEAR(Sheet1!$A865)</f>
        <v>2025</v>
      </c>
      <c r="J865" s="17">
        <f>DAY(Sheet1!$A865)</f>
        <v>12</v>
      </c>
      <c r="K865" s="18" t="s">
        <v>2023</v>
      </c>
      <c r="L865" s="19" t="str">
        <f t="shared" si="27"/>
        <v>Regular Customer</v>
      </c>
    </row>
    <row r="866" spans="1:12" ht="15.75" customHeight="1" x14ac:dyDescent="0.3">
      <c r="A866" s="7">
        <v>45635</v>
      </c>
      <c r="B866" s="8" t="s">
        <v>1459</v>
      </c>
      <c r="C866" s="8" t="s">
        <v>18</v>
      </c>
      <c r="D866" s="8" t="s">
        <v>9</v>
      </c>
      <c r="E866" s="9">
        <v>26.64</v>
      </c>
      <c r="F866" s="8" t="s">
        <v>11</v>
      </c>
      <c r="G866" s="8">
        <v>26.64</v>
      </c>
      <c r="H866" s="10">
        <f t="shared" si="26"/>
        <v>12</v>
      </c>
      <c r="I866" s="10">
        <f>YEAR(Sheet1!$A866)</f>
        <v>2024</v>
      </c>
      <c r="J866" s="10">
        <f>DAY(Sheet1!$A866)</f>
        <v>9</v>
      </c>
      <c r="K866" s="12" t="s">
        <v>2022</v>
      </c>
      <c r="L866" s="13" t="str">
        <f t="shared" si="27"/>
        <v>Regular Customer</v>
      </c>
    </row>
    <row r="867" spans="1:12" ht="15.75" customHeight="1" x14ac:dyDescent="0.3">
      <c r="A867" s="14">
        <v>45440</v>
      </c>
      <c r="B867" s="15" t="s">
        <v>56</v>
      </c>
      <c r="C867" s="15" t="s">
        <v>18</v>
      </c>
      <c r="D867" s="15" t="s">
        <v>14</v>
      </c>
      <c r="E867" s="16">
        <v>13.33</v>
      </c>
      <c r="F867" s="15" t="s">
        <v>10</v>
      </c>
      <c r="G867" s="15">
        <v>26.66</v>
      </c>
      <c r="H867" s="17">
        <f t="shared" si="26"/>
        <v>5</v>
      </c>
      <c r="I867" s="17">
        <f>YEAR(Sheet1!$A867)</f>
        <v>2024</v>
      </c>
      <c r="J867" s="17">
        <f>DAY(Sheet1!$A867)</f>
        <v>28</v>
      </c>
      <c r="K867" s="18" t="s">
        <v>2023</v>
      </c>
      <c r="L867" s="19" t="str">
        <f t="shared" si="27"/>
        <v>Regular Customer</v>
      </c>
    </row>
    <row r="868" spans="1:12" ht="15.75" customHeight="1" x14ac:dyDescent="0.3">
      <c r="A868" s="7">
        <v>45470</v>
      </c>
      <c r="B868" s="8" t="s">
        <v>753</v>
      </c>
      <c r="C868" s="8" t="s">
        <v>13</v>
      </c>
      <c r="D868" s="8" t="s">
        <v>14</v>
      </c>
      <c r="E868" s="9">
        <v>13.35</v>
      </c>
      <c r="F868" s="8" t="s">
        <v>11</v>
      </c>
      <c r="G868" s="8">
        <v>26.7</v>
      </c>
      <c r="H868" s="10">
        <f t="shared" si="26"/>
        <v>6</v>
      </c>
      <c r="I868" s="10">
        <f>YEAR(Sheet1!$A868)</f>
        <v>2024</v>
      </c>
      <c r="J868" s="10">
        <f>DAY(Sheet1!$A868)</f>
        <v>27</v>
      </c>
      <c r="K868" s="12" t="s">
        <v>2022</v>
      </c>
      <c r="L868" s="13" t="str">
        <f t="shared" si="27"/>
        <v>Regular Customer</v>
      </c>
    </row>
    <row r="869" spans="1:12" ht="15.75" customHeight="1" x14ac:dyDescent="0.3">
      <c r="A869" s="14">
        <v>45547</v>
      </c>
      <c r="B869" s="15" t="s">
        <v>1783</v>
      </c>
      <c r="C869" s="15" t="s">
        <v>18</v>
      </c>
      <c r="D869" s="15" t="s">
        <v>16</v>
      </c>
      <c r="E869" s="16">
        <v>26.71</v>
      </c>
      <c r="F869" s="15" t="s">
        <v>11</v>
      </c>
      <c r="G869" s="15">
        <v>26.71</v>
      </c>
      <c r="H869" s="17">
        <f t="shared" si="26"/>
        <v>9</v>
      </c>
      <c r="I869" s="17">
        <f>YEAR(Sheet1!$A869)</f>
        <v>2024</v>
      </c>
      <c r="J869" s="17">
        <f>DAY(Sheet1!$A869)</f>
        <v>12</v>
      </c>
      <c r="K869" s="18" t="s">
        <v>2023</v>
      </c>
      <c r="L869" s="19" t="str">
        <f t="shared" si="27"/>
        <v>Regular Customer</v>
      </c>
    </row>
    <row r="870" spans="1:12" ht="15.75" customHeight="1" x14ac:dyDescent="0.3">
      <c r="A870" s="7">
        <v>45661</v>
      </c>
      <c r="B870" s="8" t="s">
        <v>1123</v>
      </c>
      <c r="C870" s="8" t="s">
        <v>18</v>
      </c>
      <c r="D870" s="8" t="s">
        <v>19</v>
      </c>
      <c r="E870" s="9">
        <v>26.72</v>
      </c>
      <c r="F870" s="8" t="s">
        <v>10</v>
      </c>
      <c r="G870" s="8">
        <v>26.72</v>
      </c>
      <c r="H870" s="10">
        <f t="shared" si="26"/>
        <v>1</v>
      </c>
      <c r="I870" s="10">
        <f>YEAR(Sheet1!$A870)</f>
        <v>2025</v>
      </c>
      <c r="J870" s="10">
        <f>DAY(Sheet1!$A870)</f>
        <v>4</v>
      </c>
      <c r="K870" s="12" t="s">
        <v>2022</v>
      </c>
      <c r="L870" s="13" t="str">
        <f t="shared" si="27"/>
        <v>Regular Customer</v>
      </c>
    </row>
    <row r="871" spans="1:12" ht="15.75" customHeight="1" x14ac:dyDescent="0.3">
      <c r="A871" s="14">
        <v>45680</v>
      </c>
      <c r="B871" s="15" t="s">
        <v>576</v>
      </c>
      <c r="C871" s="15" t="s">
        <v>8</v>
      </c>
      <c r="D871" s="15" t="s">
        <v>9</v>
      </c>
      <c r="E871" s="16">
        <v>13.37</v>
      </c>
      <c r="F871" s="15" t="s">
        <v>11</v>
      </c>
      <c r="G871" s="15">
        <v>26.74</v>
      </c>
      <c r="H871" s="17">
        <f t="shared" si="26"/>
        <v>1</v>
      </c>
      <c r="I871" s="17">
        <f>YEAR(Sheet1!$A871)</f>
        <v>2025</v>
      </c>
      <c r="J871" s="17">
        <f>DAY(Sheet1!$A871)</f>
        <v>23</v>
      </c>
      <c r="K871" s="18" t="s">
        <v>2022</v>
      </c>
      <c r="L871" s="19" t="str">
        <f t="shared" si="27"/>
        <v>Regular Customer</v>
      </c>
    </row>
    <row r="872" spans="1:12" ht="15.75" customHeight="1" x14ac:dyDescent="0.3">
      <c r="A872" s="7">
        <v>45419</v>
      </c>
      <c r="B872" s="8" t="s">
        <v>1900</v>
      </c>
      <c r="C872" s="8" t="s">
        <v>24</v>
      </c>
      <c r="D872" s="8" t="s">
        <v>19</v>
      </c>
      <c r="E872" s="9">
        <v>26.76</v>
      </c>
      <c r="F872" s="8" t="s">
        <v>11</v>
      </c>
      <c r="G872" s="8">
        <v>26.76</v>
      </c>
      <c r="H872" s="10">
        <f t="shared" si="26"/>
        <v>5</v>
      </c>
      <c r="I872" s="10">
        <f>YEAR(Sheet1!$A872)</f>
        <v>2024</v>
      </c>
      <c r="J872" s="10">
        <f>DAY(Sheet1!$A872)</f>
        <v>7</v>
      </c>
      <c r="K872" s="12" t="s">
        <v>2023</v>
      </c>
      <c r="L872" s="13" t="str">
        <f t="shared" si="27"/>
        <v>Regular Customer</v>
      </c>
    </row>
    <row r="873" spans="1:12" ht="15.75" customHeight="1" x14ac:dyDescent="0.3">
      <c r="A873" s="14">
        <v>45491</v>
      </c>
      <c r="B873" s="15" t="s">
        <v>1154</v>
      </c>
      <c r="C873" s="15" t="s">
        <v>8</v>
      </c>
      <c r="D873" s="15" t="s">
        <v>16</v>
      </c>
      <c r="E873" s="16">
        <v>8.92</v>
      </c>
      <c r="F873" s="15" t="s">
        <v>11</v>
      </c>
      <c r="G873" s="15">
        <v>26.76</v>
      </c>
      <c r="H873" s="17">
        <f t="shared" si="26"/>
        <v>7</v>
      </c>
      <c r="I873" s="17">
        <f>YEAR(Sheet1!$A873)</f>
        <v>2024</v>
      </c>
      <c r="J873" s="17">
        <f>DAY(Sheet1!$A873)</f>
        <v>18</v>
      </c>
      <c r="K873" s="18" t="s">
        <v>2022</v>
      </c>
      <c r="L873" s="19" t="str">
        <f t="shared" si="27"/>
        <v>Regular Customer</v>
      </c>
    </row>
    <row r="874" spans="1:12" ht="15.75" customHeight="1" x14ac:dyDescent="0.3">
      <c r="A874" s="7">
        <v>45600</v>
      </c>
      <c r="B874" s="8" t="s">
        <v>1680</v>
      </c>
      <c r="C874" s="8" t="s">
        <v>24</v>
      </c>
      <c r="D874" s="8" t="s">
        <v>19</v>
      </c>
      <c r="E874" s="9">
        <v>26.78</v>
      </c>
      <c r="F874" s="8" t="s">
        <v>11</v>
      </c>
      <c r="G874" s="8">
        <v>26.78</v>
      </c>
      <c r="H874" s="10">
        <f t="shared" si="26"/>
        <v>11</v>
      </c>
      <c r="I874" s="10">
        <f>YEAR(Sheet1!$A874)</f>
        <v>2024</v>
      </c>
      <c r="J874" s="10">
        <f>DAY(Sheet1!$A874)</f>
        <v>4</v>
      </c>
      <c r="K874" s="12" t="s">
        <v>2023</v>
      </c>
      <c r="L874" s="13" t="str">
        <f t="shared" si="27"/>
        <v>Regular Customer</v>
      </c>
    </row>
    <row r="875" spans="1:12" ht="15.75" customHeight="1" x14ac:dyDescent="0.3">
      <c r="A875" s="14">
        <v>45702</v>
      </c>
      <c r="B875" s="15" t="s">
        <v>642</v>
      </c>
      <c r="C875" s="15" t="s">
        <v>8</v>
      </c>
      <c r="D875" s="15" t="s">
        <v>19</v>
      </c>
      <c r="E875" s="16">
        <v>8.93</v>
      </c>
      <c r="F875" s="15" t="s">
        <v>11</v>
      </c>
      <c r="G875" s="15">
        <v>26.79</v>
      </c>
      <c r="H875" s="17">
        <f t="shared" si="26"/>
        <v>2</v>
      </c>
      <c r="I875" s="17">
        <f>YEAR(Sheet1!$A875)</f>
        <v>2025</v>
      </c>
      <c r="J875" s="17">
        <f>DAY(Sheet1!$A875)</f>
        <v>14</v>
      </c>
      <c r="K875" s="18" t="s">
        <v>2022</v>
      </c>
      <c r="L875" s="19" t="str">
        <f t="shared" si="27"/>
        <v>Regular Customer</v>
      </c>
    </row>
    <row r="876" spans="1:12" ht="15.75" customHeight="1" x14ac:dyDescent="0.3">
      <c r="A876" s="7">
        <v>45512</v>
      </c>
      <c r="B876" s="8" t="s">
        <v>351</v>
      </c>
      <c r="C876" s="8" t="s">
        <v>8</v>
      </c>
      <c r="D876" s="8" t="s">
        <v>14</v>
      </c>
      <c r="E876" s="9">
        <v>26.85</v>
      </c>
      <c r="F876" s="8" t="s">
        <v>10</v>
      </c>
      <c r="G876" s="8">
        <v>26.85</v>
      </c>
      <c r="H876" s="10">
        <f t="shared" si="26"/>
        <v>8</v>
      </c>
      <c r="I876" s="10">
        <f>YEAR(Sheet1!$A876)</f>
        <v>2024</v>
      </c>
      <c r="J876" s="10">
        <f>DAY(Sheet1!$A876)</f>
        <v>8</v>
      </c>
      <c r="K876" s="12" t="s">
        <v>2023</v>
      </c>
      <c r="L876" s="13" t="str">
        <f t="shared" si="27"/>
        <v>Regular Customer</v>
      </c>
    </row>
    <row r="877" spans="1:12" ht="15.75" customHeight="1" x14ac:dyDescent="0.3">
      <c r="A877" s="14">
        <v>45590</v>
      </c>
      <c r="B877" s="15" t="s">
        <v>914</v>
      </c>
      <c r="C877" s="15" t="s">
        <v>13</v>
      </c>
      <c r="D877" s="15" t="s">
        <v>9</v>
      </c>
      <c r="E877" s="16">
        <v>26.86</v>
      </c>
      <c r="F877" s="15" t="s">
        <v>10</v>
      </c>
      <c r="G877" s="15">
        <v>26.86</v>
      </c>
      <c r="H877" s="17">
        <f t="shared" si="26"/>
        <v>10</v>
      </c>
      <c r="I877" s="17">
        <f>YEAR(Sheet1!$A877)</f>
        <v>2024</v>
      </c>
      <c r="J877" s="17">
        <f>DAY(Sheet1!$A877)</f>
        <v>25</v>
      </c>
      <c r="K877" s="18" t="s">
        <v>2022</v>
      </c>
      <c r="L877" s="19" t="str">
        <f t="shared" si="27"/>
        <v>Regular Customer</v>
      </c>
    </row>
    <row r="878" spans="1:12" ht="15.75" customHeight="1" x14ac:dyDescent="0.3">
      <c r="A878" s="7">
        <v>45570</v>
      </c>
      <c r="B878" s="8" t="s">
        <v>47</v>
      </c>
      <c r="C878" s="8" t="s">
        <v>24</v>
      </c>
      <c r="D878" s="8" t="s">
        <v>16</v>
      </c>
      <c r="E878" s="9">
        <v>13.44</v>
      </c>
      <c r="F878" s="8" t="s">
        <v>11</v>
      </c>
      <c r="G878" s="8">
        <v>26.88</v>
      </c>
      <c r="H878" s="10">
        <f t="shared" si="26"/>
        <v>10</v>
      </c>
      <c r="I878" s="10">
        <f>YEAR(Sheet1!$A878)</f>
        <v>2024</v>
      </c>
      <c r="J878" s="10">
        <f>DAY(Sheet1!$A878)</f>
        <v>5</v>
      </c>
      <c r="K878" s="12" t="s">
        <v>2022</v>
      </c>
      <c r="L878" s="13" t="str">
        <f t="shared" si="27"/>
        <v>Regular Customer</v>
      </c>
    </row>
    <row r="879" spans="1:12" ht="15.75" customHeight="1" x14ac:dyDescent="0.3">
      <c r="A879" s="14">
        <v>45581</v>
      </c>
      <c r="B879" s="15" t="s">
        <v>1825</v>
      </c>
      <c r="C879" s="15" t="s">
        <v>13</v>
      </c>
      <c r="D879" s="15" t="s">
        <v>14</v>
      </c>
      <c r="E879" s="16">
        <v>13.44</v>
      </c>
      <c r="F879" s="15" t="s">
        <v>11</v>
      </c>
      <c r="G879" s="15">
        <v>26.88</v>
      </c>
      <c r="H879" s="17">
        <f t="shared" si="26"/>
        <v>10</v>
      </c>
      <c r="I879" s="17">
        <f>YEAR(Sheet1!$A879)</f>
        <v>2024</v>
      </c>
      <c r="J879" s="17">
        <f>DAY(Sheet1!$A879)</f>
        <v>16</v>
      </c>
      <c r="K879" s="18" t="s">
        <v>2022</v>
      </c>
      <c r="L879" s="19" t="str">
        <f t="shared" si="27"/>
        <v>Regular Customer</v>
      </c>
    </row>
    <row r="880" spans="1:12" ht="15.75" customHeight="1" x14ac:dyDescent="0.3">
      <c r="A880" s="7">
        <v>45650</v>
      </c>
      <c r="B880" s="8" t="s">
        <v>48</v>
      </c>
      <c r="C880" s="8" t="s">
        <v>13</v>
      </c>
      <c r="D880" s="8" t="s">
        <v>16</v>
      </c>
      <c r="E880" s="9">
        <v>26.89</v>
      </c>
      <c r="F880" s="8" t="s">
        <v>11</v>
      </c>
      <c r="G880" s="8">
        <v>26.89</v>
      </c>
      <c r="H880" s="10">
        <f t="shared" si="26"/>
        <v>12</v>
      </c>
      <c r="I880" s="10">
        <f>YEAR(Sheet1!$A880)</f>
        <v>2024</v>
      </c>
      <c r="J880" s="10">
        <f>DAY(Sheet1!$A880)</f>
        <v>24</v>
      </c>
      <c r="K880" s="12" t="s">
        <v>2023</v>
      </c>
      <c r="L880" s="13" t="str">
        <f t="shared" si="27"/>
        <v>Regular Customer</v>
      </c>
    </row>
    <row r="881" spans="1:12" ht="15.75" customHeight="1" x14ac:dyDescent="0.3">
      <c r="A881" s="14">
        <v>45481</v>
      </c>
      <c r="B881" s="15" t="s">
        <v>1032</v>
      </c>
      <c r="C881" s="15" t="s">
        <v>13</v>
      </c>
      <c r="D881" s="15" t="s">
        <v>16</v>
      </c>
      <c r="E881" s="16">
        <v>26.97</v>
      </c>
      <c r="F881" s="15" t="s">
        <v>11</v>
      </c>
      <c r="G881" s="15">
        <v>26.97</v>
      </c>
      <c r="H881" s="17">
        <f t="shared" si="26"/>
        <v>7</v>
      </c>
      <c r="I881" s="17">
        <f>YEAR(Sheet1!$A881)</f>
        <v>2024</v>
      </c>
      <c r="J881" s="17">
        <f>DAY(Sheet1!$A881)</f>
        <v>8</v>
      </c>
      <c r="K881" s="18" t="s">
        <v>2023</v>
      </c>
      <c r="L881" s="19" t="str">
        <f t="shared" si="27"/>
        <v>Regular Customer</v>
      </c>
    </row>
    <row r="882" spans="1:12" ht="15.75" customHeight="1" x14ac:dyDescent="0.3">
      <c r="A882" s="7">
        <v>45688</v>
      </c>
      <c r="B882" s="8" t="s">
        <v>1131</v>
      </c>
      <c r="C882" s="8" t="s">
        <v>18</v>
      </c>
      <c r="D882" s="8" t="s">
        <v>9</v>
      </c>
      <c r="E882" s="9">
        <v>8.99</v>
      </c>
      <c r="F882" s="8" t="s">
        <v>11</v>
      </c>
      <c r="G882" s="8">
        <v>26.97</v>
      </c>
      <c r="H882" s="10">
        <f t="shared" si="26"/>
        <v>1</v>
      </c>
      <c r="I882" s="10">
        <f>YEAR(Sheet1!$A882)</f>
        <v>2025</v>
      </c>
      <c r="J882" s="10">
        <f>DAY(Sheet1!$A882)</f>
        <v>31</v>
      </c>
      <c r="K882" s="12" t="s">
        <v>2023</v>
      </c>
      <c r="L882" s="13" t="str">
        <f t="shared" si="27"/>
        <v>Regular Customer</v>
      </c>
    </row>
    <row r="883" spans="1:12" ht="15.75" customHeight="1" x14ac:dyDescent="0.3">
      <c r="A883" s="14">
        <v>45673</v>
      </c>
      <c r="B883" s="15" t="s">
        <v>1897</v>
      </c>
      <c r="C883" s="15" t="s">
        <v>8</v>
      </c>
      <c r="D883" s="15" t="s">
        <v>19</v>
      </c>
      <c r="E883" s="16">
        <v>13.49</v>
      </c>
      <c r="F883" s="15" t="s">
        <v>10</v>
      </c>
      <c r="G883" s="15">
        <v>26.98</v>
      </c>
      <c r="H883" s="17">
        <f t="shared" si="26"/>
        <v>1</v>
      </c>
      <c r="I883" s="17">
        <f>YEAR(Sheet1!$A883)</f>
        <v>2025</v>
      </c>
      <c r="J883" s="17">
        <f>DAY(Sheet1!$A883)</f>
        <v>16</v>
      </c>
      <c r="K883" s="18" t="s">
        <v>2022</v>
      </c>
      <c r="L883" s="19" t="str">
        <f t="shared" si="27"/>
        <v>Regular Customer</v>
      </c>
    </row>
    <row r="884" spans="1:12" ht="15.75" customHeight="1" x14ac:dyDescent="0.3">
      <c r="A884" s="7">
        <v>45439</v>
      </c>
      <c r="B884" s="8" t="s">
        <v>944</v>
      </c>
      <c r="C884" s="8" t="s">
        <v>13</v>
      </c>
      <c r="D884" s="8" t="s">
        <v>19</v>
      </c>
      <c r="E884" s="9">
        <v>9</v>
      </c>
      <c r="F884" s="8" t="s">
        <v>11</v>
      </c>
      <c r="G884" s="8">
        <v>27</v>
      </c>
      <c r="H884" s="10">
        <f t="shared" si="26"/>
        <v>5</v>
      </c>
      <c r="I884" s="10">
        <f>YEAR(Sheet1!$A884)</f>
        <v>2024</v>
      </c>
      <c r="J884" s="10">
        <f>DAY(Sheet1!$A884)</f>
        <v>27</v>
      </c>
      <c r="K884" s="12" t="s">
        <v>2023</v>
      </c>
      <c r="L884" s="13" t="str">
        <f t="shared" si="27"/>
        <v>Regular Customer</v>
      </c>
    </row>
    <row r="885" spans="1:12" ht="15.75" customHeight="1" x14ac:dyDescent="0.3">
      <c r="A885" s="14">
        <v>45552</v>
      </c>
      <c r="B885" s="15" t="s">
        <v>1134</v>
      </c>
      <c r="C885" s="15" t="s">
        <v>24</v>
      </c>
      <c r="D885" s="15" t="s">
        <v>9</v>
      </c>
      <c r="E885" s="16">
        <v>9</v>
      </c>
      <c r="F885" s="15" t="s">
        <v>11</v>
      </c>
      <c r="G885" s="15">
        <v>27</v>
      </c>
      <c r="H885" s="17">
        <f t="shared" si="26"/>
        <v>9</v>
      </c>
      <c r="I885" s="17">
        <f>YEAR(Sheet1!$A885)</f>
        <v>2024</v>
      </c>
      <c r="J885" s="17">
        <f>DAY(Sheet1!$A885)</f>
        <v>17</v>
      </c>
      <c r="K885" s="18" t="s">
        <v>2022</v>
      </c>
      <c r="L885" s="19" t="str">
        <f t="shared" si="27"/>
        <v>Regular Customer</v>
      </c>
    </row>
    <row r="886" spans="1:12" ht="15.75" customHeight="1" x14ac:dyDescent="0.3">
      <c r="A886" s="7">
        <v>45737</v>
      </c>
      <c r="B886" s="8" t="s">
        <v>1570</v>
      </c>
      <c r="C886" s="8" t="s">
        <v>13</v>
      </c>
      <c r="D886" s="8" t="s">
        <v>16</v>
      </c>
      <c r="E886" s="9">
        <v>9.01</v>
      </c>
      <c r="F886" s="8" t="s">
        <v>11</v>
      </c>
      <c r="G886" s="8">
        <v>27.03</v>
      </c>
      <c r="H886" s="10">
        <f t="shared" si="26"/>
        <v>3</v>
      </c>
      <c r="I886" s="10">
        <f>YEAR(Sheet1!$A886)</f>
        <v>2025</v>
      </c>
      <c r="J886" s="10">
        <f>DAY(Sheet1!$A886)</f>
        <v>21</v>
      </c>
      <c r="K886" s="12" t="s">
        <v>2023</v>
      </c>
      <c r="L886" s="13" t="str">
        <f t="shared" si="27"/>
        <v>Regular Customer</v>
      </c>
    </row>
    <row r="887" spans="1:12" ht="15.75" customHeight="1" x14ac:dyDescent="0.3">
      <c r="A887" s="14">
        <v>45598</v>
      </c>
      <c r="B887" s="15" t="s">
        <v>1350</v>
      </c>
      <c r="C887" s="15" t="s">
        <v>24</v>
      </c>
      <c r="D887" s="15" t="s">
        <v>14</v>
      </c>
      <c r="E887" s="16">
        <v>27.05</v>
      </c>
      <c r="F887" s="15" t="s">
        <v>10</v>
      </c>
      <c r="G887" s="15">
        <v>27.05</v>
      </c>
      <c r="H887" s="17">
        <f t="shared" si="26"/>
        <v>11</v>
      </c>
      <c r="I887" s="17">
        <f>YEAR(Sheet1!$A887)</f>
        <v>2024</v>
      </c>
      <c r="J887" s="17">
        <f>DAY(Sheet1!$A887)</f>
        <v>2</v>
      </c>
      <c r="K887" s="18" t="s">
        <v>2022</v>
      </c>
      <c r="L887" s="19" t="str">
        <f t="shared" si="27"/>
        <v>Regular Customer</v>
      </c>
    </row>
    <row r="888" spans="1:12" ht="15.75" customHeight="1" x14ac:dyDescent="0.3">
      <c r="A888" s="7">
        <v>45607</v>
      </c>
      <c r="B888" s="8" t="s">
        <v>459</v>
      </c>
      <c r="C888" s="8" t="s">
        <v>18</v>
      </c>
      <c r="D888" s="8" t="s">
        <v>9</v>
      </c>
      <c r="E888" s="9">
        <v>27.05</v>
      </c>
      <c r="F888" s="8" t="s">
        <v>11</v>
      </c>
      <c r="G888" s="8">
        <v>27.05</v>
      </c>
      <c r="H888" s="10">
        <f t="shared" si="26"/>
        <v>11</v>
      </c>
      <c r="I888" s="10">
        <f>YEAR(Sheet1!$A888)</f>
        <v>2024</v>
      </c>
      <c r="J888" s="10">
        <f>DAY(Sheet1!$A888)</f>
        <v>11</v>
      </c>
      <c r="K888" s="12" t="s">
        <v>2022</v>
      </c>
      <c r="L888" s="13" t="str">
        <f t="shared" si="27"/>
        <v>Regular Customer</v>
      </c>
    </row>
    <row r="889" spans="1:12" ht="15.75" customHeight="1" x14ac:dyDescent="0.3">
      <c r="A889" s="14">
        <v>45680</v>
      </c>
      <c r="B889" s="15" t="s">
        <v>166</v>
      </c>
      <c r="C889" s="15" t="s">
        <v>18</v>
      </c>
      <c r="D889" s="15" t="s">
        <v>9</v>
      </c>
      <c r="E889" s="16">
        <v>13.54</v>
      </c>
      <c r="F889" s="15" t="s">
        <v>10</v>
      </c>
      <c r="G889" s="15">
        <v>27.08</v>
      </c>
      <c r="H889" s="17">
        <f t="shared" si="26"/>
        <v>1</v>
      </c>
      <c r="I889" s="17">
        <f>YEAR(Sheet1!$A889)</f>
        <v>2025</v>
      </c>
      <c r="J889" s="17">
        <f>DAY(Sheet1!$A889)</f>
        <v>23</v>
      </c>
      <c r="K889" s="18" t="s">
        <v>2022</v>
      </c>
      <c r="L889" s="19" t="str">
        <f t="shared" si="27"/>
        <v>Regular Customer</v>
      </c>
    </row>
    <row r="890" spans="1:12" ht="15.75" customHeight="1" x14ac:dyDescent="0.3">
      <c r="A890" s="7">
        <v>45457</v>
      </c>
      <c r="B890" s="8" t="s">
        <v>467</v>
      </c>
      <c r="C890" s="8" t="s">
        <v>18</v>
      </c>
      <c r="D890" s="8" t="s">
        <v>14</v>
      </c>
      <c r="E890" s="9">
        <v>27.11</v>
      </c>
      <c r="F890" s="8" t="s">
        <v>11</v>
      </c>
      <c r="G890" s="8">
        <v>27.11</v>
      </c>
      <c r="H890" s="10">
        <f t="shared" si="26"/>
        <v>6</v>
      </c>
      <c r="I890" s="10">
        <f>YEAR(Sheet1!$A890)</f>
        <v>2024</v>
      </c>
      <c r="J890" s="10">
        <f>DAY(Sheet1!$A890)</f>
        <v>14</v>
      </c>
      <c r="K890" s="12" t="s">
        <v>2023</v>
      </c>
      <c r="L890" s="13" t="str">
        <f t="shared" si="27"/>
        <v>Regular Customer</v>
      </c>
    </row>
    <row r="891" spans="1:12" ht="15.75" customHeight="1" x14ac:dyDescent="0.3">
      <c r="A891" s="14">
        <v>45516</v>
      </c>
      <c r="B891" s="15" t="s">
        <v>1111</v>
      </c>
      <c r="C891" s="15" t="s">
        <v>24</v>
      </c>
      <c r="D891" s="15" t="s">
        <v>19</v>
      </c>
      <c r="E891" s="16">
        <v>27.11</v>
      </c>
      <c r="F891" s="15" t="s">
        <v>10</v>
      </c>
      <c r="G891" s="15">
        <v>27.11</v>
      </c>
      <c r="H891" s="17">
        <f t="shared" si="26"/>
        <v>8</v>
      </c>
      <c r="I891" s="17">
        <f>YEAR(Sheet1!$A891)</f>
        <v>2024</v>
      </c>
      <c r="J891" s="17">
        <f>DAY(Sheet1!$A891)</f>
        <v>12</v>
      </c>
      <c r="K891" s="18" t="s">
        <v>2023</v>
      </c>
      <c r="L891" s="19" t="str">
        <f t="shared" si="27"/>
        <v>Regular Customer</v>
      </c>
    </row>
    <row r="892" spans="1:12" ht="15.75" customHeight="1" x14ac:dyDescent="0.3">
      <c r="A892" s="7">
        <v>45621</v>
      </c>
      <c r="B892" s="8" t="s">
        <v>1851</v>
      </c>
      <c r="C892" s="8" t="s">
        <v>24</v>
      </c>
      <c r="D892" s="8" t="s">
        <v>9</v>
      </c>
      <c r="E892" s="9">
        <v>27.12</v>
      </c>
      <c r="F892" s="8" t="s">
        <v>10</v>
      </c>
      <c r="G892" s="8">
        <v>27.12</v>
      </c>
      <c r="H892" s="10">
        <f t="shared" si="26"/>
        <v>11</v>
      </c>
      <c r="I892" s="10">
        <f>YEAR(Sheet1!$A892)</f>
        <v>2024</v>
      </c>
      <c r="J892" s="10">
        <f>DAY(Sheet1!$A892)</f>
        <v>25</v>
      </c>
      <c r="K892" s="12" t="s">
        <v>2022</v>
      </c>
      <c r="L892" s="13" t="str">
        <f t="shared" si="27"/>
        <v>Regular Customer</v>
      </c>
    </row>
    <row r="893" spans="1:12" ht="15.75" customHeight="1" x14ac:dyDescent="0.3">
      <c r="A893" s="14">
        <v>45760</v>
      </c>
      <c r="B893" s="15" t="s">
        <v>796</v>
      </c>
      <c r="C893" s="15" t="s">
        <v>18</v>
      </c>
      <c r="D893" s="15" t="s">
        <v>19</v>
      </c>
      <c r="E893" s="16">
        <v>27.13</v>
      </c>
      <c r="F893" s="15" t="s">
        <v>11</v>
      </c>
      <c r="G893" s="15">
        <v>27.13</v>
      </c>
      <c r="H893" s="17">
        <f t="shared" si="26"/>
        <v>4</v>
      </c>
      <c r="I893" s="17">
        <f>YEAR(Sheet1!$A893)</f>
        <v>2025</v>
      </c>
      <c r="J893" s="17">
        <f>DAY(Sheet1!$A893)</f>
        <v>13</v>
      </c>
      <c r="K893" s="18" t="s">
        <v>2022</v>
      </c>
      <c r="L893" s="19" t="str">
        <f t="shared" si="27"/>
        <v>Regular Customer</v>
      </c>
    </row>
    <row r="894" spans="1:12" ht="15.75" customHeight="1" x14ac:dyDescent="0.3">
      <c r="A894" s="7">
        <v>45770</v>
      </c>
      <c r="B894" s="8" t="s">
        <v>1945</v>
      </c>
      <c r="C894" s="8" t="s">
        <v>8</v>
      </c>
      <c r="D894" s="8" t="s">
        <v>19</v>
      </c>
      <c r="E894" s="9">
        <v>27.13</v>
      </c>
      <c r="F894" s="8" t="s">
        <v>11</v>
      </c>
      <c r="G894" s="8">
        <v>27.13</v>
      </c>
      <c r="H894" s="10">
        <f t="shared" si="26"/>
        <v>4</v>
      </c>
      <c r="I894" s="10">
        <f>YEAR(Sheet1!$A894)</f>
        <v>2025</v>
      </c>
      <c r="J894" s="10">
        <f>DAY(Sheet1!$A894)</f>
        <v>23</v>
      </c>
      <c r="K894" s="12" t="s">
        <v>2023</v>
      </c>
      <c r="L894" s="13" t="str">
        <f t="shared" si="27"/>
        <v>Regular Customer</v>
      </c>
    </row>
    <row r="895" spans="1:12" ht="15.75" customHeight="1" x14ac:dyDescent="0.3">
      <c r="A895" s="14">
        <v>45577</v>
      </c>
      <c r="B895" s="15" t="s">
        <v>743</v>
      </c>
      <c r="C895" s="15" t="s">
        <v>24</v>
      </c>
      <c r="D895" s="15" t="s">
        <v>16</v>
      </c>
      <c r="E895" s="16">
        <v>13.57</v>
      </c>
      <c r="F895" s="15" t="s">
        <v>11</v>
      </c>
      <c r="G895" s="15">
        <v>27.14</v>
      </c>
      <c r="H895" s="17">
        <f t="shared" si="26"/>
        <v>10</v>
      </c>
      <c r="I895" s="17">
        <f>YEAR(Sheet1!$A895)</f>
        <v>2024</v>
      </c>
      <c r="J895" s="17">
        <f>DAY(Sheet1!$A895)</f>
        <v>12</v>
      </c>
      <c r="K895" s="18" t="s">
        <v>2022</v>
      </c>
      <c r="L895" s="19" t="str">
        <f t="shared" si="27"/>
        <v>Regular Customer</v>
      </c>
    </row>
    <row r="896" spans="1:12" ht="15.75" customHeight="1" x14ac:dyDescent="0.3">
      <c r="A896" s="7">
        <v>45616</v>
      </c>
      <c r="B896" s="8" t="s">
        <v>1518</v>
      </c>
      <c r="C896" s="8" t="s">
        <v>8</v>
      </c>
      <c r="D896" s="8" t="s">
        <v>9</v>
      </c>
      <c r="E896" s="9">
        <v>27.14</v>
      </c>
      <c r="F896" s="8" t="s">
        <v>10</v>
      </c>
      <c r="G896" s="8">
        <v>27.14</v>
      </c>
      <c r="H896" s="10">
        <f t="shared" si="26"/>
        <v>11</v>
      </c>
      <c r="I896" s="10">
        <f>YEAR(Sheet1!$A896)</f>
        <v>2024</v>
      </c>
      <c r="J896" s="10">
        <f>DAY(Sheet1!$A896)</f>
        <v>20</v>
      </c>
      <c r="K896" s="12" t="s">
        <v>2022</v>
      </c>
      <c r="L896" s="13" t="str">
        <f t="shared" si="27"/>
        <v>Regular Customer</v>
      </c>
    </row>
    <row r="897" spans="1:12" ht="15.75" customHeight="1" x14ac:dyDescent="0.3">
      <c r="A897" s="14">
        <v>45484</v>
      </c>
      <c r="B897" s="15" t="s">
        <v>272</v>
      </c>
      <c r="C897" s="15" t="s">
        <v>13</v>
      </c>
      <c r="D897" s="15" t="s">
        <v>16</v>
      </c>
      <c r="E897" s="16">
        <v>27.15</v>
      </c>
      <c r="F897" s="15" t="s">
        <v>11</v>
      </c>
      <c r="G897" s="15">
        <v>27.15</v>
      </c>
      <c r="H897" s="17">
        <f t="shared" si="26"/>
        <v>7</v>
      </c>
      <c r="I897" s="17">
        <f>YEAR(Sheet1!$A897)</f>
        <v>2024</v>
      </c>
      <c r="J897" s="17">
        <f>DAY(Sheet1!$A897)</f>
        <v>11</v>
      </c>
      <c r="K897" s="18" t="s">
        <v>2023</v>
      </c>
      <c r="L897" s="19" t="str">
        <f t="shared" si="27"/>
        <v>Regular Customer</v>
      </c>
    </row>
    <row r="898" spans="1:12" ht="15.75" customHeight="1" x14ac:dyDescent="0.3">
      <c r="A898" s="7">
        <v>45520</v>
      </c>
      <c r="B898" s="8" t="s">
        <v>1338</v>
      </c>
      <c r="C898" s="8" t="s">
        <v>18</v>
      </c>
      <c r="D898" s="8" t="s">
        <v>9</v>
      </c>
      <c r="E898" s="9">
        <v>13.58</v>
      </c>
      <c r="F898" s="8" t="s">
        <v>10</v>
      </c>
      <c r="G898" s="8">
        <v>27.16</v>
      </c>
      <c r="H898" s="10">
        <f t="shared" ref="H898:H961" si="28">MONTH(A898)</f>
        <v>8</v>
      </c>
      <c r="I898" s="10">
        <f>YEAR(Sheet1!$A898)</f>
        <v>2024</v>
      </c>
      <c r="J898" s="10">
        <f>DAY(Sheet1!$A898)</f>
        <v>16</v>
      </c>
      <c r="K898" s="12" t="s">
        <v>2023</v>
      </c>
      <c r="L898" s="13" t="str">
        <f t="shared" ref="L898:L961" si="29">IF(G898&gt;50,"Premium Customer","Regular Customer")</f>
        <v>Regular Customer</v>
      </c>
    </row>
    <row r="899" spans="1:12" ht="15.75" customHeight="1" x14ac:dyDescent="0.3">
      <c r="A899" s="14">
        <v>45750</v>
      </c>
      <c r="B899" s="15" t="s">
        <v>250</v>
      </c>
      <c r="C899" s="15" t="s">
        <v>24</v>
      </c>
      <c r="D899" s="15" t="s">
        <v>16</v>
      </c>
      <c r="E899" s="16">
        <v>13.58</v>
      </c>
      <c r="F899" s="15" t="s">
        <v>10</v>
      </c>
      <c r="G899" s="15">
        <v>27.16</v>
      </c>
      <c r="H899" s="17">
        <f t="shared" si="28"/>
        <v>4</v>
      </c>
      <c r="I899" s="17">
        <f>YEAR(Sheet1!$A899)</f>
        <v>2025</v>
      </c>
      <c r="J899" s="17">
        <f>DAY(Sheet1!$A899)</f>
        <v>3</v>
      </c>
      <c r="K899" s="18" t="s">
        <v>2022</v>
      </c>
      <c r="L899" s="19" t="str">
        <f t="shared" si="29"/>
        <v>Regular Customer</v>
      </c>
    </row>
    <row r="900" spans="1:12" ht="15.75" customHeight="1" x14ac:dyDescent="0.3">
      <c r="A900" s="7">
        <v>45503</v>
      </c>
      <c r="B900" s="8" t="s">
        <v>606</v>
      </c>
      <c r="C900" s="8" t="s">
        <v>13</v>
      </c>
      <c r="D900" s="8" t="s">
        <v>9</v>
      </c>
      <c r="E900" s="9">
        <v>27.2</v>
      </c>
      <c r="F900" s="8" t="s">
        <v>10</v>
      </c>
      <c r="G900" s="8">
        <v>27.2</v>
      </c>
      <c r="H900" s="10">
        <f t="shared" si="28"/>
        <v>7</v>
      </c>
      <c r="I900" s="10">
        <f>YEAR(Sheet1!$A900)</f>
        <v>2024</v>
      </c>
      <c r="J900" s="10">
        <f>DAY(Sheet1!$A900)</f>
        <v>30</v>
      </c>
      <c r="K900" s="12" t="s">
        <v>2022</v>
      </c>
      <c r="L900" s="13" t="str">
        <f t="shared" si="29"/>
        <v>Regular Customer</v>
      </c>
    </row>
    <row r="901" spans="1:12" ht="15.75" customHeight="1" x14ac:dyDescent="0.3">
      <c r="A901" s="14">
        <v>45552</v>
      </c>
      <c r="B901" s="15" t="s">
        <v>49</v>
      </c>
      <c r="C901" s="15" t="s">
        <v>13</v>
      </c>
      <c r="D901" s="15" t="s">
        <v>19</v>
      </c>
      <c r="E901" s="16">
        <v>13.61</v>
      </c>
      <c r="F901" s="15" t="s">
        <v>10</v>
      </c>
      <c r="G901" s="15">
        <v>27.22</v>
      </c>
      <c r="H901" s="17">
        <f t="shared" si="28"/>
        <v>9</v>
      </c>
      <c r="I901" s="17">
        <f>YEAR(Sheet1!$A901)</f>
        <v>2024</v>
      </c>
      <c r="J901" s="17">
        <f>DAY(Sheet1!$A901)</f>
        <v>17</v>
      </c>
      <c r="K901" s="18" t="s">
        <v>2022</v>
      </c>
      <c r="L901" s="19" t="str">
        <f t="shared" si="29"/>
        <v>Regular Customer</v>
      </c>
    </row>
    <row r="902" spans="1:12" ht="15.75" customHeight="1" x14ac:dyDescent="0.3">
      <c r="A902" s="7">
        <v>45646</v>
      </c>
      <c r="B902" s="8" t="s">
        <v>925</v>
      </c>
      <c r="C902" s="8" t="s">
        <v>8</v>
      </c>
      <c r="D902" s="8" t="s">
        <v>19</v>
      </c>
      <c r="E902" s="9">
        <v>27.23</v>
      </c>
      <c r="F902" s="8" t="s">
        <v>10</v>
      </c>
      <c r="G902" s="8">
        <v>27.23</v>
      </c>
      <c r="H902" s="10">
        <f t="shared" si="28"/>
        <v>12</v>
      </c>
      <c r="I902" s="10">
        <f>YEAR(Sheet1!$A902)</f>
        <v>2024</v>
      </c>
      <c r="J902" s="10">
        <f>DAY(Sheet1!$A902)</f>
        <v>20</v>
      </c>
      <c r="K902" s="12" t="s">
        <v>2022</v>
      </c>
      <c r="L902" s="13" t="str">
        <f t="shared" si="29"/>
        <v>Regular Customer</v>
      </c>
    </row>
    <row r="903" spans="1:12" ht="15.75" customHeight="1" x14ac:dyDescent="0.3">
      <c r="A903" s="14">
        <v>45491</v>
      </c>
      <c r="B903" s="15" t="s">
        <v>594</v>
      </c>
      <c r="C903" s="15" t="s">
        <v>24</v>
      </c>
      <c r="D903" s="15" t="s">
        <v>19</v>
      </c>
      <c r="E903" s="16">
        <v>9.09</v>
      </c>
      <c r="F903" s="15" t="s">
        <v>10</v>
      </c>
      <c r="G903" s="15">
        <v>27.27</v>
      </c>
      <c r="H903" s="17">
        <f t="shared" si="28"/>
        <v>7</v>
      </c>
      <c r="I903" s="17">
        <f>YEAR(Sheet1!$A903)</f>
        <v>2024</v>
      </c>
      <c r="J903" s="17">
        <f>DAY(Sheet1!$A903)</f>
        <v>18</v>
      </c>
      <c r="K903" s="18" t="s">
        <v>2023</v>
      </c>
      <c r="L903" s="19" t="str">
        <f t="shared" si="29"/>
        <v>Regular Customer</v>
      </c>
    </row>
    <row r="904" spans="1:12" ht="15.75" customHeight="1" x14ac:dyDescent="0.3">
      <c r="A904" s="7">
        <v>45531</v>
      </c>
      <c r="B904" s="8" t="s">
        <v>43</v>
      </c>
      <c r="C904" s="8" t="s">
        <v>24</v>
      </c>
      <c r="D904" s="8" t="s">
        <v>16</v>
      </c>
      <c r="E904" s="9">
        <v>27.28</v>
      </c>
      <c r="F904" s="8" t="s">
        <v>11</v>
      </c>
      <c r="G904" s="8">
        <v>27.28</v>
      </c>
      <c r="H904" s="10">
        <f t="shared" si="28"/>
        <v>8</v>
      </c>
      <c r="I904" s="10">
        <f>YEAR(Sheet1!$A904)</f>
        <v>2024</v>
      </c>
      <c r="J904" s="10">
        <f>DAY(Sheet1!$A904)</f>
        <v>27</v>
      </c>
      <c r="K904" s="12" t="s">
        <v>2023</v>
      </c>
      <c r="L904" s="13" t="str">
        <f t="shared" si="29"/>
        <v>Regular Customer</v>
      </c>
    </row>
    <row r="905" spans="1:12" ht="15.75" customHeight="1" x14ac:dyDescent="0.3">
      <c r="A905" s="14">
        <v>45733</v>
      </c>
      <c r="B905" s="15" t="s">
        <v>706</v>
      </c>
      <c r="C905" s="15" t="s">
        <v>24</v>
      </c>
      <c r="D905" s="15" t="s">
        <v>19</v>
      </c>
      <c r="E905" s="16">
        <v>27.28</v>
      </c>
      <c r="F905" s="15" t="s">
        <v>10</v>
      </c>
      <c r="G905" s="15">
        <v>27.28</v>
      </c>
      <c r="H905" s="17">
        <f t="shared" si="28"/>
        <v>3</v>
      </c>
      <c r="I905" s="17">
        <f>YEAR(Sheet1!$A905)</f>
        <v>2025</v>
      </c>
      <c r="J905" s="17">
        <f>DAY(Sheet1!$A905)</f>
        <v>17</v>
      </c>
      <c r="K905" s="18" t="s">
        <v>2023</v>
      </c>
      <c r="L905" s="19" t="str">
        <f t="shared" si="29"/>
        <v>Regular Customer</v>
      </c>
    </row>
    <row r="906" spans="1:12" ht="15.75" customHeight="1" x14ac:dyDescent="0.3">
      <c r="A906" s="7">
        <v>45616</v>
      </c>
      <c r="B906" s="8" t="s">
        <v>1771</v>
      </c>
      <c r="C906" s="8" t="s">
        <v>8</v>
      </c>
      <c r="D906" s="8" t="s">
        <v>9</v>
      </c>
      <c r="E906" s="9">
        <v>27.3</v>
      </c>
      <c r="F906" s="8" t="s">
        <v>11</v>
      </c>
      <c r="G906" s="8">
        <v>27.3</v>
      </c>
      <c r="H906" s="10">
        <f t="shared" si="28"/>
        <v>11</v>
      </c>
      <c r="I906" s="10">
        <f>YEAR(Sheet1!$A906)</f>
        <v>2024</v>
      </c>
      <c r="J906" s="10">
        <f>DAY(Sheet1!$A906)</f>
        <v>20</v>
      </c>
      <c r="K906" s="12" t="s">
        <v>2023</v>
      </c>
      <c r="L906" s="13" t="str">
        <f t="shared" si="29"/>
        <v>Regular Customer</v>
      </c>
    </row>
    <row r="907" spans="1:12" ht="15.75" customHeight="1" x14ac:dyDescent="0.3">
      <c r="A907" s="14">
        <v>45669</v>
      </c>
      <c r="B907" s="15" t="s">
        <v>379</v>
      </c>
      <c r="C907" s="15" t="s">
        <v>24</v>
      </c>
      <c r="D907" s="15" t="s">
        <v>9</v>
      </c>
      <c r="E907" s="16">
        <v>9.1</v>
      </c>
      <c r="F907" s="15" t="s">
        <v>11</v>
      </c>
      <c r="G907" s="15">
        <v>27.3</v>
      </c>
      <c r="H907" s="17">
        <f t="shared" si="28"/>
        <v>1</v>
      </c>
      <c r="I907" s="17">
        <f>YEAR(Sheet1!$A907)</f>
        <v>2025</v>
      </c>
      <c r="J907" s="17">
        <f>DAY(Sheet1!$A907)</f>
        <v>12</v>
      </c>
      <c r="K907" s="18" t="s">
        <v>2023</v>
      </c>
      <c r="L907" s="19" t="str">
        <f t="shared" si="29"/>
        <v>Regular Customer</v>
      </c>
    </row>
    <row r="908" spans="1:12" ht="15.75" customHeight="1" x14ac:dyDescent="0.3">
      <c r="A908" s="7">
        <v>45741</v>
      </c>
      <c r="B908" s="8" t="s">
        <v>1716</v>
      </c>
      <c r="C908" s="8" t="s">
        <v>24</v>
      </c>
      <c r="D908" s="8" t="s">
        <v>19</v>
      </c>
      <c r="E908" s="9">
        <v>9.1</v>
      </c>
      <c r="F908" s="8" t="s">
        <v>10</v>
      </c>
      <c r="G908" s="8">
        <v>27.3</v>
      </c>
      <c r="H908" s="10">
        <f t="shared" si="28"/>
        <v>3</v>
      </c>
      <c r="I908" s="10">
        <f>YEAR(Sheet1!$A908)</f>
        <v>2025</v>
      </c>
      <c r="J908" s="10">
        <f>DAY(Sheet1!$A908)</f>
        <v>25</v>
      </c>
      <c r="K908" s="12" t="s">
        <v>2022</v>
      </c>
      <c r="L908" s="13" t="str">
        <f t="shared" si="29"/>
        <v>Regular Customer</v>
      </c>
    </row>
    <row r="909" spans="1:12" ht="15.75" customHeight="1" x14ac:dyDescent="0.3">
      <c r="A909" s="14">
        <v>45520</v>
      </c>
      <c r="B909" s="15" t="s">
        <v>135</v>
      </c>
      <c r="C909" s="15" t="s">
        <v>24</v>
      </c>
      <c r="D909" s="15" t="s">
        <v>14</v>
      </c>
      <c r="E909" s="16">
        <v>27.35</v>
      </c>
      <c r="F909" s="15" t="s">
        <v>10</v>
      </c>
      <c r="G909" s="15">
        <v>27.35</v>
      </c>
      <c r="H909" s="17">
        <f t="shared" si="28"/>
        <v>8</v>
      </c>
      <c r="I909" s="17">
        <f>YEAR(Sheet1!$A909)</f>
        <v>2024</v>
      </c>
      <c r="J909" s="17">
        <f>DAY(Sheet1!$A909)</f>
        <v>16</v>
      </c>
      <c r="K909" s="18" t="s">
        <v>2023</v>
      </c>
      <c r="L909" s="19" t="str">
        <f t="shared" si="29"/>
        <v>Regular Customer</v>
      </c>
    </row>
    <row r="910" spans="1:12" ht="15.75" customHeight="1" x14ac:dyDescent="0.3">
      <c r="A910" s="7">
        <v>45415</v>
      </c>
      <c r="B910" s="8" t="s">
        <v>1453</v>
      </c>
      <c r="C910" s="8" t="s">
        <v>24</v>
      </c>
      <c r="D910" s="8" t="s">
        <v>16</v>
      </c>
      <c r="E910" s="9">
        <v>13.68</v>
      </c>
      <c r="F910" s="8" t="s">
        <v>10</v>
      </c>
      <c r="G910" s="8">
        <v>27.36</v>
      </c>
      <c r="H910" s="10">
        <f t="shared" si="28"/>
        <v>5</v>
      </c>
      <c r="I910" s="10">
        <f>YEAR(Sheet1!$A910)</f>
        <v>2024</v>
      </c>
      <c r="J910" s="10">
        <f>DAY(Sheet1!$A910)</f>
        <v>3</v>
      </c>
      <c r="K910" s="12" t="s">
        <v>2022</v>
      </c>
      <c r="L910" s="13" t="str">
        <f t="shared" si="29"/>
        <v>Regular Customer</v>
      </c>
    </row>
    <row r="911" spans="1:12" ht="15.75" customHeight="1" x14ac:dyDescent="0.3">
      <c r="A911" s="14">
        <v>45769</v>
      </c>
      <c r="B911" s="15" t="s">
        <v>610</v>
      </c>
      <c r="C911" s="15" t="s">
        <v>24</v>
      </c>
      <c r="D911" s="15" t="s">
        <v>16</v>
      </c>
      <c r="E911" s="16">
        <v>27.37</v>
      </c>
      <c r="F911" s="15" t="s">
        <v>11</v>
      </c>
      <c r="G911" s="15">
        <v>27.37</v>
      </c>
      <c r="H911" s="17">
        <f t="shared" si="28"/>
        <v>4</v>
      </c>
      <c r="I911" s="17">
        <f>YEAR(Sheet1!$A911)</f>
        <v>2025</v>
      </c>
      <c r="J911" s="17">
        <f>DAY(Sheet1!$A911)</f>
        <v>22</v>
      </c>
      <c r="K911" s="18" t="s">
        <v>2022</v>
      </c>
      <c r="L911" s="19" t="str">
        <f t="shared" si="29"/>
        <v>Regular Customer</v>
      </c>
    </row>
    <row r="912" spans="1:12" ht="15.75" customHeight="1" x14ac:dyDescent="0.3">
      <c r="A912" s="7">
        <v>45596</v>
      </c>
      <c r="B912" s="8" t="s">
        <v>1376</v>
      </c>
      <c r="C912" s="8" t="s">
        <v>18</v>
      </c>
      <c r="D912" s="8" t="s">
        <v>19</v>
      </c>
      <c r="E912" s="9">
        <v>27.4</v>
      </c>
      <c r="F912" s="8" t="s">
        <v>10</v>
      </c>
      <c r="G912" s="8">
        <v>27.4</v>
      </c>
      <c r="H912" s="10">
        <f t="shared" si="28"/>
        <v>10</v>
      </c>
      <c r="I912" s="10">
        <f>YEAR(Sheet1!$A912)</f>
        <v>2024</v>
      </c>
      <c r="J912" s="10">
        <f>DAY(Sheet1!$A912)</f>
        <v>31</v>
      </c>
      <c r="K912" s="12" t="s">
        <v>2022</v>
      </c>
      <c r="L912" s="13" t="str">
        <f t="shared" si="29"/>
        <v>Regular Customer</v>
      </c>
    </row>
    <row r="913" spans="1:12" ht="15.75" customHeight="1" x14ac:dyDescent="0.3">
      <c r="A913" s="14">
        <v>45673</v>
      </c>
      <c r="B913" s="15" t="s">
        <v>652</v>
      </c>
      <c r="C913" s="15" t="s">
        <v>18</v>
      </c>
      <c r="D913" s="15" t="s">
        <v>9</v>
      </c>
      <c r="E913" s="16">
        <v>13.7</v>
      </c>
      <c r="F913" s="15" t="s">
        <v>10</v>
      </c>
      <c r="G913" s="15">
        <v>27.4</v>
      </c>
      <c r="H913" s="17">
        <f t="shared" si="28"/>
        <v>1</v>
      </c>
      <c r="I913" s="17">
        <f>YEAR(Sheet1!$A913)</f>
        <v>2025</v>
      </c>
      <c r="J913" s="17">
        <f>DAY(Sheet1!$A913)</f>
        <v>16</v>
      </c>
      <c r="K913" s="18" t="s">
        <v>2023</v>
      </c>
      <c r="L913" s="19" t="str">
        <f t="shared" si="29"/>
        <v>Regular Customer</v>
      </c>
    </row>
    <row r="914" spans="1:12" ht="15.75" customHeight="1" x14ac:dyDescent="0.3">
      <c r="A914" s="7">
        <v>45538</v>
      </c>
      <c r="B914" s="8" t="s">
        <v>216</v>
      </c>
      <c r="C914" s="8" t="s">
        <v>8</v>
      </c>
      <c r="D914" s="8" t="s">
        <v>16</v>
      </c>
      <c r="E914" s="9">
        <v>27.42</v>
      </c>
      <c r="F914" s="8" t="s">
        <v>11</v>
      </c>
      <c r="G914" s="8">
        <v>27.42</v>
      </c>
      <c r="H914" s="10">
        <f t="shared" si="28"/>
        <v>9</v>
      </c>
      <c r="I914" s="10">
        <f>YEAR(Sheet1!$A914)</f>
        <v>2024</v>
      </c>
      <c r="J914" s="10">
        <f>DAY(Sheet1!$A914)</f>
        <v>3</v>
      </c>
      <c r="K914" s="12" t="s">
        <v>2022</v>
      </c>
      <c r="L914" s="13" t="str">
        <f t="shared" si="29"/>
        <v>Regular Customer</v>
      </c>
    </row>
    <row r="915" spans="1:12" ht="15.75" customHeight="1" x14ac:dyDescent="0.3">
      <c r="A915" s="14">
        <v>45731</v>
      </c>
      <c r="B915" s="15" t="s">
        <v>1145</v>
      </c>
      <c r="C915" s="15" t="s">
        <v>8</v>
      </c>
      <c r="D915" s="15" t="s">
        <v>16</v>
      </c>
      <c r="E915" s="16">
        <v>9.15</v>
      </c>
      <c r="F915" s="15" t="s">
        <v>10</v>
      </c>
      <c r="G915" s="15">
        <v>27.45</v>
      </c>
      <c r="H915" s="17">
        <f t="shared" si="28"/>
        <v>3</v>
      </c>
      <c r="I915" s="17">
        <f>YEAR(Sheet1!$A915)</f>
        <v>2025</v>
      </c>
      <c r="J915" s="17">
        <f>DAY(Sheet1!$A915)</f>
        <v>15</v>
      </c>
      <c r="K915" s="18" t="s">
        <v>2022</v>
      </c>
      <c r="L915" s="19" t="str">
        <f t="shared" si="29"/>
        <v>Regular Customer</v>
      </c>
    </row>
    <row r="916" spans="1:12" ht="15.75" customHeight="1" x14ac:dyDescent="0.3">
      <c r="A916" s="7">
        <v>45668</v>
      </c>
      <c r="B916" s="8" t="s">
        <v>969</v>
      </c>
      <c r="C916" s="8" t="s">
        <v>18</v>
      </c>
      <c r="D916" s="8" t="s">
        <v>19</v>
      </c>
      <c r="E916" s="9">
        <v>9.16</v>
      </c>
      <c r="F916" s="8" t="s">
        <v>10</v>
      </c>
      <c r="G916" s="8">
        <v>27.48</v>
      </c>
      <c r="H916" s="10">
        <f t="shared" si="28"/>
        <v>1</v>
      </c>
      <c r="I916" s="10">
        <f>YEAR(Sheet1!$A916)</f>
        <v>2025</v>
      </c>
      <c r="J916" s="10">
        <f>DAY(Sheet1!$A916)</f>
        <v>11</v>
      </c>
      <c r="K916" s="12" t="s">
        <v>2023</v>
      </c>
      <c r="L916" s="13" t="str">
        <f t="shared" si="29"/>
        <v>Regular Customer</v>
      </c>
    </row>
    <row r="917" spans="1:12" ht="15.75" customHeight="1" x14ac:dyDescent="0.3">
      <c r="A917" s="14">
        <v>45449</v>
      </c>
      <c r="B917" s="15" t="s">
        <v>1541</v>
      </c>
      <c r="C917" s="15" t="s">
        <v>13</v>
      </c>
      <c r="D917" s="15" t="s">
        <v>16</v>
      </c>
      <c r="E917" s="16">
        <v>27.51</v>
      </c>
      <c r="F917" s="15" t="s">
        <v>10</v>
      </c>
      <c r="G917" s="15">
        <v>27.51</v>
      </c>
      <c r="H917" s="17">
        <f t="shared" si="28"/>
        <v>6</v>
      </c>
      <c r="I917" s="17">
        <f>YEAR(Sheet1!$A917)</f>
        <v>2024</v>
      </c>
      <c r="J917" s="17">
        <f>DAY(Sheet1!$A917)</f>
        <v>6</v>
      </c>
      <c r="K917" s="18" t="s">
        <v>2022</v>
      </c>
      <c r="L917" s="19" t="str">
        <f t="shared" si="29"/>
        <v>Regular Customer</v>
      </c>
    </row>
    <row r="918" spans="1:12" ht="15.75" customHeight="1" x14ac:dyDescent="0.3">
      <c r="A918" s="7">
        <v>45700</v>
      </c>
      <c r="B918" s="8" t="s">
        <v>778</v>
      </c>
      <c r="C918" s="8" t="s">
        <v>18</v>
      </c>
      <c r="D918" s="8" t="s">
        <v>14</v>
      </c>
      <c r="E918" s="9">
        <v>9.17</v>
      </c>
      <c r="F918" s="8" t="s">
        <v>10</v>
      </c>
      <c r="G918" s="8">
        <v>27.51</v>
      </c>
      <c r="H918" s="10">
        <f t="shared" si="28"/>
        <v>2</v>
      </c>
      <c r="I918" s="10">
        <f>YEAR(Sheet1!$A918)</f>
        <v>2025</v>
      </c>
      <c r="J918" s="10">
        <f>DAY(Sheet1!$A918)</f>
        <v>12</v>
      </c>
      <c r="K918" s="12" t="s">
        <v>2023</v>
      </c>
      <c r="L918" s="13" t="str">
        <f t="shared" si="29"/>
        <v>Regular Customer</v>
      </c>
    </row>
    <row r="919" spans="1:12" ht="15.75" customHeight="1" x14ac:dyDescent="0.3">
      <c r="A919" s="14">
        <v>45694</v>
      </c>
      <c r="B919" s="15" t="s">
        <v>856</v>
      </c>
      <c r="C919" s="15" t="s">
        <v>24</v>
      </c>
      <c r="D919" s="15" t="s">
        <v>9</v>
      </c>
      <c r="E919" s="16">
        <v>13.76</v>
      </c>
      <c r="F919" s="15" t="s">
        <v>10</v>
      </c>
      <c r="G919" s="15">
        <v>27.52</v>
      </c>
      <c r="H919" s="17">
        <f t="shared" si="28"/>
        <v>2</v>
      </c>
      <c r="I919" s="17">
        <f>YEAR(Sheet1!$A919)</f>
        <v>2025</v>
      </c>
      <c r="J919" s="17">
        <f>DAY(Sheet1!$A919)</f>
        <v>6</v>
      </c>
      <c r="K919" s="18" t="s">
        <v>2023</v>
      </c>
      <c r="L919" s="19" t="str">
        <f t="shared" si="29"/>
        <v>Regular Customer</v>
      </c>
    </row>
    <row r="920" spans="1:12" ht="15.75" customHeight="1" x14ac:dyDescent="0.3">
      <c r="A920" s="7">
        <v>45525</v>
      </c>
      <c r="B920" s="8" t="s">
        <v>1257</v>
      </c>
      <c r="C920" s="8" t="s">
        <v>18</v>
      </c>
      <c r="D920" s="8" t="s">
        <v>19</v>
      </c>
      <c r="E920" s="9">
        <v>27.53</v>
      </c>
      <c r="F920" s="8" t="s">
        <v>11</v>
      </c>
      <c r="G920" s="8">
        <v>27.53</v>
      </c>
      <c r="H920" s="10">
        <f t="shared" si="28"/>
        <v>8</v>
      </c>
      <c r="I920" s="10">
        <f>YEAR(Sheet1!$A920)</f>
        <v>2024</v>
      </c>
      <c r="J920" s="10">
        <f>DAY(Sheet1!$A920)</f>
        <v>21</v>
      </c>
      <c r="K920" s="12" t="s">
        <v>2023</v>
      </c>
      <c r="L920" s="13" t="str">
        <f t="shared" si="29"/>
        <v>Regular Customer</v>
      </c>
    </row>
    <row r="921" spans="1:12" ht="15.75" customHeight="1" x14ac:dyDescent="0.3">
      <c r="A921" s="14">
        <v>45417</v>
      </c>
      <c r="B921" s="15" t="s">
        <v>1969</v>
      </c>
      <c r="C921" s="15" t="s">
        <v>18</v>
      </c>
      <c r="D921" s="15" t="s">
        <v>19</v>
      </c>
      <c r="E921" s="16">
        <v>13.78</v>
      </c>
      <c r="F921" s="15" t="s">
        <v>11</v>
      </c>
      <c r="G921" s="15">
        <v>27.56</v>
      </c>
      <c r="H921" s="17">
        <f t="shared" si="28"/>
        <v>5</v>
      </c>
      <c r="I921" s="17">
        <f>YEAR(Sheet1!$A921)</f>
        <v>2024</v>
      </c>
      <c r="J921" s="17">
        <f>DAY(Sheet1!$A921)</f>
        <v>5</v>
      </c>
      <c r="K921" s="18" t="s">
        <v>2023</v>
      </c>
      <c r="L921" s="19" t="str">
        <f t="shared" si="29"/>
        <v>Regular Customer</v>
      </c>
    </row>
    <row r="922" spans="1:12" ht="15.75" customHeight="1" x14ac:dyDescent="0.3">
      <c r="A922" s="7">
        <v>45450</v>
      </c>
      <c r="B922" s="8" t="s">
        <v>550</v>
      </c>
      <c r="C922" s="8" t="s">
        <v>18</v>
      </c>
      <c r="D922" s="8" t="s">
        <v>9</v>
      </c>
      <c r="E922" s="9">
        <v>27.56</v>
      </c>
      <c r="F922" s="8" t="s">
        <v>11</v>
      </c>
      <c r="G922" s="8">
        <v>27.56</v>
      </c>
      <c r="H922" s="10">
        <f t="shared" si="28"/>
        <v>6</v>
      </c>
      <c r="I922" s="10">
        <f>YEAR(Sheet1!$A922)</f>
        <v>2024</v>
      </c>
      <c r="J922" s="10">
        <f>DAY(Sheet1!$A922)</f>
        <v>7</v>
      </c>
      <c r="K922" s="12" t="s">
        <v>2022</v>
      </c>
      <c r="L922" s="13" t="str">
        <f t="shared" si="29"/>
        <v>Regular Customer</v>
      </c>
    </row>
    <row r="923" spans="1:12" ht="15.75" customHeight="1" x14ac:dyDescent="0.3">
      <c r="A923" s="14">
        <v>45497</v>
      </c>
      <c r="B923" s="15" t="s">
        <v>1355</v>
      </c>
      <c r="C923" s="15" t="s">
        <v>24</v>
      </c>
      <c r="D923" s="15" t="s">
        <v>16</v>
      </c>
      <c r="E923" s="16">
        <v>27.6</v>
      </c>
      <c r="F923" s="15" t="s">
        <v>10</v>
      </c>
      <c r="G923" s="15">
        <v>27.6</v>
      </c>
      <c r="H923" s="17">
        <f t="shared" si="28"/>
        <v>7</v>
      </c>
      <c r="I923" s="17">
        <f>YEAR(Sheet1!$A923)</f>
        <v>2024</v>
      </c>
      <c r="J923" s="17">
        <f>DAY(Sheet1!$A923)</f>
        <v>24</v>
      </c>
      <c r="K923" s="18" t="s">
        <v>2022</v>
      </c>
      <c r="L923" s="19" t="str">
        <f t="shared" si="29"/>
        <v>Regular Customer</v>
      </c>
    </row>
    <row r="924" spans="1:12" ht="15.75" customHeight="1" x14ac:dyDescent="0.3">
      <c r="A924" s="7">
        <v>45558</v>
      </c>
      <c r="B924" s="8" t="s">
        <v>700</v>
      </c>
      <c r="C924" s="8" t="s">
        <v>13</v>
      </c>
      <c r="D924" s="8" t="s">
        <v>16</v>
      </c>
      <c r="E924" s="9">
        <v>27.62</v>
      </c>
      <c r="F924" s="8" t="s">
        <v>11</v>
      </c>
      <c r="G924" s="8">
        <v>27.62</v>
      </c>
      <c r="H924" s="10">
        <f t="shared" si="28"/>
        <v>9</v>
      </c>
      <c r="I924" s="10">
        <f>YEAR(Sheet1!$A924)</f>
        <v>2024</v>
      </c>
      <c r="J924" s="10">
        <f>DAY(Sheet1!$A924)</f>
        <v>23</v>
      </c>
      <c r="K924" s="12" t="s">
        <v>2023</v>
      </c>
      <c r="L924" s="13" t="str">
        <f t="shared" si="29"/>
        <v>Regular Customer</v>
      </c>
    </row>
    <row r="925" spans="1:12" ht="15.75" customHeight="1" x14ac:dyDescent="0.3">
      <c r="A925" s="14">
        <v>45653</v>
      </c>
      <c r="B925" s="15" t="s">
        <v>1734</v>
      </c>
      <c r="C925" s="15" t="s">
        <v>13</v>
      </c>
      <c r="D925" s="15" t="s">
        <v>16</v>
      </c>
      <c r="E925" s="16">
        <v>27.65</v>
      </c>
      <c r="F925" s="15" t="s">
        <v>10</v>
      </c>
      <c r="G925" s="15">
        <v>27.65</v>
      </c>
      <c r="H925" s="17">
        <f t="shared" si="28"/>
        <v>12</v>
      </c>
      <c r="I925" s="17">
        <f>YEAR(Sheet1!$A925)</f>
        <v>2024</v>
      </c>
      <c r="J925" s="17">
        <f>DAY(Sheet1!$A925)</f>
        <v>27</v>
      </c>
      <c r="K925" s="18" t="s">
        <v>2022</v>
      </c>
      <c r="L925" s="19" t="str">
        <f t="shared" si="29"/>
        <v>Regular Customer</v>
      </c>
    </row>
    <row r="926" spans="1:12" ht="15.75" customHeight="1" x14ac:dyDescent="0.3">
      <c r="A926" s="7">
        <v>45530</v>
      </c>
      <c r="B926" s="8" t="s">
        <v>618</v>
      </c>
      <c r="C926" s="8" t="s">
        <v>24</v>
      </c>
      <c r="D926" s="8" t="s">
        <v>16</v>
      </c>
      <c r="E926" s="9">
        <v>27.71</v>
      </c>
      <c r="F926" s="8" t="s">
        <v>11</v>
      </c>
      <c r="G926" s="8">
        <v>27.71</v>
      </c>
      <c r="H926" s="10">
        <f t="shared" si="28"/>
        <v>8</v>
      </c>
      <c r="I926" s="10">
        <f>YEAR(Sheet1!$A926)</f>
        <v>2024</v>
      </c>
      <c r="J926" s="10">
        <f>DAY(Sheet1!$A926)</f>
        <v>26</v>
      </c>
      <c r="K926" s="12" t="s">
        <v>2023</v>
      </c>
      <c r="L926" s="13" t="str">
        <f t="shared" si="29"/>
        <v>Regular Customer</v>
      </c>
    </row>
    <row r="927" spans="1:12" ht="15.75" customHeight="1" x14ac:dyDescent="0.3">
      <c r="A927" s="14">
        <v>45558</v>
      </c>
      <c r="B927" s="15" t="s">
        <v>611</v>
      </c>
      <c r="C927" s="15" t="s">
        <v>13</v>
      </c>
      <c r="D927" s="15" t="s">
        <v>9</v>
      </c>
      <c r="E927" s="16">
        <v>13.86</v>
      </c>
      <c r="F927" s="15" t="s">
        <v>11</v>
      </c>
      <c r="G927" s="15">
        <v>27.72</v>
      </c>
      <c r="H927" s="17">
        <f t="shared" si="28"/>
        <v>9</v>
      </c>
      <c r="I927" s="17">
        <f>YEAR(Sheet1!$A927)</f>
        <v>2024</v>
      </c>
      <c r="J927" s="17">
        <f>DAY(Sheet1!$A927)</f>
        <v>23</v>
      </c>
      <c r="K927" s="18" t="s">
        <v>2023</v>
      </c>
      <c r="L927" s="19" t="str">
        <f t="shared" si="29"/>
        <v>Regular Customer</v>
      </c>
    </row>
    <row r="928" spans="1:12" ht="15.75" customHeight="1" x14ac:dyDescent="0.3">
      <c r="A928" s="7">
        <v>45754</v>
      </c>
      <c r="B928" s="8" t="s">
        <v>1196</v>
      </c>
      <c r="C928" s="8" t="s">
        <v>18</v>
      </c>
      <c r="D928" s="8" t="s">
        <v>16</v>
      </c>
      <c r="E928" s="9">
        <v>9.24</v>
      </c>
      <c r="F928" s="8" t="s">
        <v>10</v>
      </c>
      <c r="G928" s="8">
        <v>27.72</v>
      </c>
      <c r="H928" s="10">
        <f t="shared" si="28"/>
        <v>4</v>
      </c>
      <c r="I928" s="10">
        <f>YEAR(Sheet1!$A928)</f>
        <v>2025</v>
      </c>
      <c r="J928" s="10">
        <f>DAY(Sheet1!$A928)</f>
        <v>7</v>
      </c>
      <c r="K928" s="12" t="s">
        <v>2023</v>
      </c>
      <c r="L928" s="13" t="str">
        <f t="shared" si="29"/>
        <v>Regular Customer</v>
      </c>
    </row>
    <row r="929" spans="1:12" ht="15.75" customHeight="1" x14ac:dyDescent="0.3">
      <c r="A929" s="14">
        <v>45689</v>
      </c>
      <c r="B929" s="15" t="s">
        <v>1663</v>
      </c>
      <c r="C929" s="15" t="s">
        <v>8</v>
      </c>
      <c r="D929" s="15" t="s">
        <v>16</v>
      </c>
      <c r="E929" s="16">
        <v>27.73</v>
      </c>
      <c r="F929" s="15" t="s">
        <v>10</v>
      </c>
      <c r="G929" s="15">
        <v>27.73</v>
      </c>
      <c r="H929" s="17">
        <f t="shared" si="28"/>
        <v>2</v>
      </c>
      <c r="I929" s="17">
        <f>YEAR(Sheet1!$A929)</f>
        <v>2025</v>
      </c>
      <c r="J929" s="17">
        <f>DAY(Sheet1!$A929)</f>
        <v>1</v>
      </c>
      <c r="K929" s="18" t="s">
        <v>2022</v>
      </c>
      <c r="L929" s="19" t="str">
        <f t="shared" si="29"/>
        <v>Regular Customer</v>
      </c>
    </row>
    <row r="930" spans="1:12" ht="15.75" customHeight="1" x14ac:dyDescent="0.3">
      <c r="A930" s="7">
        <v>45744</v>
      </c>
      <c r="B930" s="8" t="s">
        <v>1549</v>
      </c>
      <c r="C930" s="8" t="s">
        <v>8</v>
      </c>
      <c r="D930" s="8" t="s">
        <v>19</v>
      </c>
      <c r="E930" s="9">
        <v>27.75</v>
      </c>
      <c r="F930" s="8" t="s">
        <v>11</v>
      </c>
      <c r="G930" s="8">
        <v>27.75</v>
      </c>
      <c r="H930" s="10">
        <f t="shared" si="28"/>
        <v>3</v>
      </c>
      <c r="I930" s="10">
        <f>YEAR(Sheet1!$A930)</f>
        <v>2025</v>
      </c>
      <c r="J930" s="10">
        <f>DAY(Sheet1!$A930)</f>
        <v>28</v>
      </c>
      <c r="K930" s="12" t="s">
        <v>2023</v>
      </c>
      <c r="L930" s="13" t="str">
        <f t="shared" si="29"/>
        <v>Regular Customer</v>
      </c>
    </row>
    <row r="931" spans="1:12" ht="15.75" customHeight="1" x14ac:dyDescent="0.3">
      <c r="A931" s="14">
        <v>45529</v>
      </c>
      <c r="B931" s="15" t="s">
        <v>1341</v>
      </c>
      <c r="C931" s="15" t="s">
        <v>13</v>
      </c>
      <c r="D931" s="15" t="s">
        <v>16</v>
      </c>
      <c r="E931" s="16">
        <v>13.88</v>
      </c>
      <c r="F931" s="15" t="s">
        <v>11</v>
      </c>
      <c r="G931" s="15">
        <v>27.76</v>
      </c>
      <c r="H931" s="17">
        <f t="shared" si="28"/>
        <v>8</v>
      </c>
      <c r="I931" s="17">
        <f>YEAR(Sheet1!$A931)</f>
        <v>2024</v>
      </c>
      <c r="J931" s="17">
        <f>DAY(Sheet1!$A931)</f>
        <v>25</v>
      </c>
      <c r="K931" s="18" t="s">
        <v>2022</v>
      </c>
      <c r="L931" s="19" t="str">
        <f t="shared" si="29"/>
        <v>Regular Customer</v>
      </c>
    </row>
    <row r="932" spans="1:12" ht="15.75" customHeight="1" x14ac:dyDescent="0.3">
      <c r="A932" s="7">
        <v>45584</v>
      </c>
      <c r="B932" s="8" t="s">
        <v>1880</v>
      </c>
      <c r="C932" s="8" t="s">
        <v>13</v>
      </c>
      <c r="D932" s="8" t="s">
        <v>9</v>
      </c>
      <c r="E932" s="9">
        <v>13.88</v>
      </c>
      <c r="F932" s="8" t="s">
        <v>10</v>
      </c>
      <c r="G932" s="8">
        <v>27.76</v>
      </c>
      <c r="H932" s="10">
        <f t="shared" si="28"/>
        <v>10</v>
      </c>
      <c r="I932" s="10">
        <f>YEAR(Sheet1!$A932)</f>
        <v>2024</v>
      </c>
      <c r="J932" s="10">
        <f>DAY(Sheet1!$A932)</f>
        <v>19</v>
      </c>
      <c r="K932" s="12" t="s">
        <v>2022</v>
      </c>
      <c r="L932" s="13" t="str">
        <f t="shared" si="29"/>
        <v>Regular Customer</v>
      </c>
    </row>
    <row r="933" spans="1:12" ht="15.75" customHeight="1" x14ac:dyDescent="0.3">
      <c r="A933" s="14">
        <v>45628</v>
      </c>
      <c r="B933" s="15" t="s">
        <v>72</v>
      </c>
      <c r="C933" s="15" t="s">
        <v>18</v>
      </c>
      <c r="D933" s="15" t="s">
        <v>14</v>
      </c>
      <c r="E933" s="16">
        <v>27.76</v>
      </c>
      <c r="F933" s="15" t="s">
        <v>10</v>
      </c>
      <c r="G933" s="15">
        <v>27.76</v>
      </c>
      <c r="H933" s="17">
        <f t="shared" si="28"/>
        <v>12</v>
      </c>
      <c r="I933" s="17">
        <f>YEAR(Sheet1!$A933)</f>
        <v>2024</v>
      </c>
      <c r="J933" s="17">
        <f>DAY(Sheet1!$A933)</f>
        <v>2</v>
      </c>
      <c r="K933" s="18" t="s">
        <v>2022</v>
      </c>
      <c r="L933" s="19" t="str">
        <f t="shared" si="29"/>
        <v>Regular Customer</v>
      </c>
    </row>
    <row r="934" spans="1:12" ht="15.75" customHeight="1" x14ac:dyDescent="0.3">
      <c r="A934" s="7">
        <v>45433</v>
      </c>
      <c r="B934" s="8" t="s">
        <v>1791</v>
      </c>
      <c r="C934" s="8" t="s">
        <v>24</v>
      </c>
      <c r="D934" s="8" t="s">
        <v>14</v>
      </c>
      <c r="E934" s="9">
        <v>13.89</v>
      </c>
      <c r="F934" s="8" t="s">
        <v>11</v>
      </c>
      <c r="G934" s="8">
        <v>27.78</v>
      </c>
      <c r="H934" s="10">
        <f t="shared" si="28"/>
        <v>5</v>
      </c>
      <c r="I934" s="10">
        <f>YEAR(Sheet1!$A934)</f>
        <v>2024</v>
      </c>
      <c r="J934" s="10">
        <f>DAY(Sheet1!$A934)</f>
        <v>21</v>
      </c>
      <c r="K934" s="12" t="s">
        <v>2023</v>
      </c>
      <c r="L934" s="13" t="str">
        <f t="shared" si="29"/>
        <v>Regular Customer</v>
      </c>
    </row>
    <row r="935" spans="1:12" ht="15.75" customHeight="1" x14ac:dyDescent="0.3">
      <c r="A935" s="14">
        <v>45524</v>
      </c>
      <c r="B935" s="15" t="s">
        <v>532</v>
      </c>
      <c r="C935" s="15" t="s">
        <v>8</v>
      </c>
      <c r="D935" s="15" t="s">
        <v>14</v>
      </c>
      <c r="E935" s="16">
        <v>27.84</v>
      </c>
      <c r="F935" s="15" t="s">
        <v>10</v>
      </c>
      <c r="G935" s="15">
        <v>27.84</v>
      </c>
      <c r="H935" s="17">
        <f t="shared" si="28"/>
        <v>8</v>
      </c>
      <c r="I935" s="17">
        <f>YEAR(Sheet1!$A935)</f>
        <v>2024</v>
      </c>
      <c r="J935" s="17">
        <f>DAY(Sheet1!$A935)</f>
        <v>20</v>
      </c>
      <c r="K935" s="18" t="s">
        <v>2023</v>
      </c>
      <c r="L935" s="19" t="str">
        <f t="shared" si="29"/>
        <v>Regular Customer</v>
      </c>
    </row>
    <row r="936" spans="1:12" ht="15.75" customHeight="1" x14ac:dyDescent="0.3">
      <c r="A936" s="7">
        <v>45523</v>
      </c>
      <c r="B936" s="8" t="s">
        <v>673</v>
      </c>
      <c r="C936" s="8" t="s">
        <v>18</v>
      </c>
      <c r="D936" s="8" t="s">
        <v>19</v>
      </c>
      <c r="E936" s="9">
        <v>27.9</v>
      </c>
      <c r="F936" s="8" t="s">
        <v>10</v>
      </c>
      <c r="G936" s="8">
        <v>27.9</v>
      </c>
      <c r="H936" s="10">
        <f t="shared" si="28"/>
        <v>8</v>
      </c>
      <c r="I936" s="10">
        <f>YEAR(Sheet1!$A936)</f>
        <v>2024</v>
      </c>
      <c r="J936" s="10">
        <f>DAY(Sheet1!$A936)</f>
        <v>19</v>
      </c>
      <c r="K936" s="12" t="s">
        <v>2022</v>
      </c>
      <c r="L936" s="13" t="str">
        <f t="shared" si="29"/>
        <v>Regular Customer</v>
      </c>
    </row>
    <row r="937" spans="1:12" ht="15.75" customHeight="1" x14ac:dyDescent="0.3">
      <c r="A937" s="14">
        <v>45568</v>
      </c>
      <c r="B937" s="15" t="s">
        <v>1937</v>
      </c>
      <c r="C937" s="15" t="s">
        <v>18</v>
      </c>
      <c r="D937" s="15" t="s">
        <v>19</v>
      </c>
      <c r="E937" s="16">
        <v>27.92</v>
      </c>
      <c r="F937" s="15" t="s">
        <v>10</v>
      </c>
      <c r="G937" s="15">
        <v>27.92</v>
      </c>
      <c r="H937" s="17">
        <f t="shared" si="28"/>
        <v>10</v>
      </c>
      <c r="I937" s="17">
        <f>YEAR(Sheet1!$A937)</f>
        <v>2024</v>
      </c>
      <c r="J937" s="17">
        <f>DAY(Sheet1!$A937)</f>
        <v>3</v>
      </c>
      <c r="K937" s="18" t="s">
        <v>2022</v>
      </c>
      <c r="L937" s="19" t="str">
        <f t="shared" si="29"/>
        <v>Regular Customer</v>
      </c>
    </row>
    <row r="938" spans="1:12" ht="15.75" customHeight="1" x14ac:dyDescent="0.3">
      <c r="A938" s="7">
        <v>45690</v>
      </c>
      <c r="B938" s="8" t="s">
        <v>1540</v>
      </c>
      <c r="C938" s="8" t="s">
        <v>24</v>
      </c>
      <c r="D938" s="8" t="s">
        <v>9</v>
      </c>
      <c r="E938" s="9">
        <v>13.96</v>
      </c>
      <c r="F938" s="8" t="s">
        <v>10</v>
      </c>
      <c r="G938" s="8">
        <v>27.92</v>
      </c>
      <c r="H938" s="10">
        <f t="shared" si="28"/>
        <v>2</v>
      </c>
      <c r="I938" s="10">
        <f>YEAR(Sheet1!$A938)</f>
        <v>2025</v>
      </c>
      <c r="J938" s="10">
        <f>DAY(Sheet1!$A938)</f>
        <v>2</v>
      </c>
      <c r="K938" s="12" t="s">
        <v>2023</v>
      </c>
      <c r="L938" s="13" t="str">
        <f t="shared" si="29"/>
        <v>Regular Customer</v>
      </c>
    </row>
    <row r="939" spans="1:12" ht="15.75" customHeight="1" x14ac:dyDescent="0.3">
      <c r="A939" s="14">
        <v>45712</v>
      </c>
      <c r="B939" s="15" t="s">
        <v>1122</v>
      </c>
      <c r="C939" s="15" t="s">
        <v>24</v>
      </c>
      <c r="D939" s="15" t="s">
        <v>19</v>
      </c>
      <c r="E939" s="16">
        <v>27.92</v>
      </c>
      <c r="F939" s="15" t="s">
        <v>10</v>
      </c>
      <c r="G939" s="15">
        <v>27.92</v>
      </c>
      <c r="H939" s="17">
        <f t="shared" si="28"/>
        <v>2</v>
      </c>
      <c r="I939" s="17">
        <f>YEAR(Sheet1!$A939)</f>
        <v>2025</v>
      </c>
      <c r="J939" s="17">
        <f>DAY(Sheet1!$A939)</f>
        <v>24</v>
      </c>
      <c r="K939" s="18" t="s">
        <v>2022</v>
      </c>
      <c r="L939" s="19" t="str">
        <f t="shared" si="29"/>
        <v>Regular Customer</v>
      </c>
    </row>
    <row r="940" spans="1:12" ht="15.75" customHeight="1" x14ac:dyDescent="0.3">
      <c r="A940" s="7">
        <v>45423</v>
      </c>
      <c r="B940" s="8" t="s">
        <v>1524</v>
      </c>
      <c r="C940" s="8" t="s">
        <v>24</v>
      </c>
      <c r="D940" s="8" t="s">
        <v>14</v>
      </c>
      <c r="E940" s="9">
        <v>27.93</v>
      </c>
      <c r="F940" s="8" t="s">
        <v>11</v>
      </c>
      <c r="G940" s="8">
        <v>27.93</v>
      </c>
      <c r="H940" s="10">
        <f t="shared" si="28"/>
        <v>5</v>
      </c>
      <c r="I940" s="10">
        <f>YEAR(Sheet1!$A940)</f>
        <v>2024</v>
      </c>
      <c r="J940" s="10">
        <f>DAY(Sheet1!$A940)</f>
        <v>11</v>
      </c>
      <c r="K940" s="12" t="s">
        <v>2022</v>
      </c>
      <c r="L940" s="13" t="str">
        <f t="shared" si="29"/>
        <v>Regular Customer</v>
      </c>
    </row>
    <row r="941" spans="1:12" ht="15.75" customHeight="1" x14ac:dyDescent="0.3">
      <c r="A941" s="14">
        <v>45645</v>
      </c>
      <c r="B941" s="15" t="s">
        <v>863</v>
      </c>
      <c r="C941" s="15" t="s">
        <v>24</v>
      </c>
      <c r="D941" s="15" t="s">
        <v>16</v>
      </c>
      <c r="E941" s="16">
        <v>13.98</v>
      </c>
      <c r="F941" s="15" t="s">
        <v>10</v>
      </c>
      <c r="G941" s="15">
        <v>27.96</v>
      </c>
      <c r="H941" s="17">
        <f t="shared" si="28"/>
        <v>12</v>
      </c>
      <c r="I941" s="17">
        <f>YEAR(Sheet1!$A941)</f>
        <v>2024</v>
      </c>
      <c r="J941" s="17">
        <f>DAY(Sheet1!$A941)</f>
        <v>19</v>
      </c>
      <c r="K941" s="18" t="s">
        <v>2023</v>
      </c>
      <c r="L941" s="19" t="str">
        <f t="shared" si="29"/>
        <v>Regular Customer</v>
      </c>
    </row>
    <row r="942" spans="1:12" ht="15.75" customHeight="1" x14ac:dyDescent="0.3">
      <c r="A942" s="7">
        <v>45474</v>
      </c>
      <c r="B942" s="8" t="s">
        <v>1219</v>
      </c>
      <c r="C942" s="8" t="s">
        <v>24</v>
      </c>
      <c r="D942" s="8" t="s">
        <v>19</v>
      </c>
      <c r="E942" s="9">
        <v>13.99</v>
      </c>
      <c r="F942" s="8" t="s">
        <v>11</v>
      </c>
      <c r="G942" s="8">
        <v>27.98</v>
      </c>
      <c r="H942" s="10">
        <f t="shared" si="28"/>
        <v>7</v>
      </c>
      <c r="I942" s="10">
        <f>YEAR(Sheet1!$A942)</f>
        <v>2024</v>
      </c>
      <c r="J942" s="10">
        <f>DAY(Sheet1!$A942)</f>
        <v>1</v>
      </c>
      <c r="K942" s="12" t="s">
        <v>2022</v>
      </c>
      <c r="L942" s="13" t="str">
        <f t="shared" si="29"/>
        <v>Regular Customer</v>
      </c>
    </row>
    <row r="943" spans="1:12" ht="15.75" customHeight="1" x14ac:dyDescent="0.3">
      <c r="A943" s="14">
        <v>45459</v>
      </c>
      <c r="B943" s="15" t="s">
        <v>564</v>
      </c>
      <c r="C943" s="15" t="s">
        <v>24</v>
      </c>
      <c r="D943" s="15" t="s">
        <v>14</v>
      </c>
      <c r="E943" s="16">
        <v>9.33</v>
      </c>
      <c r="F943" s="15" t="s">
        <v>11</v>
      </c>
      <c r="G943" s="15">
        <v>27.99</v>
      </c>
      <c r="H943" s="17">
        <f t="shared" si="28"/>
        <v>6</v>
      </c>
      <c r="I943" s="17">
        <f>YEAR(Sheet1!$A943)</f>
        <v>2024</v>
      </c>
      <c r="J943" s="17">
        <f>DAY(Sheet1!$A943)</f>
        <v>16</v>
      </c>
      <c r="K943" s="18" t="s">
        <v>2023</v>
      </c>
      <c r="L943" s="19" t="str">
        <f t="shared" si="29"/>
        <v>Regular Customer</v>
      </c>
    </row>
    <row r="944" spans="1:12" ht="15.75" customHeight="1" x14ac:dyDescent="0.3">
      <c r="A944" s="7">
        <v>45476</v>
      </c>
      <c r="B944" s="8" t="s">
        <v>1234</v>
      </c>
      <c r="C944" s="8" t="s">
        <v>18</v>
      </c>
      <c r="D944" s="8" t="s">
        <v>19</v>
      </c>
      <c r="E944" s="9">
        <v>28.02</v>
      </c>
      <c r="F944" s="8" t="s">
        <v>10</v>
      </c>
      <c r="G944" s="8">
        <v>28.02</v>
      </c>
      <c r="H944" s="10">
        <f t="shared" si="28"/>
        <v>7</v>
      </c>
      <c r="I944" s="10">
        <f>YEAR(Sheet1!$A944)</f>
        <v>2024</v>
      </c>
      <c r="J944" s="10">
        <f>DAY(Sheet1!$A944)</f>
        <v>3</v>
      </c>
      <c r="K944" s="12" t="s">
        <v>2023</v>
      </c>
      <c r="L944" s="13" t="str">
        <f t="shared" si="29"/>
        <v>Regular Customer</v>
      </c>
    </row>
    <row r="945" spans="1:12" ht="15.75" customHeight="1" x14ac:dyDescent="0.3">
      <c r="A945" s="14">
        <v>45572</v>
      </c>
      <c r="B945" s="15" t="s">
        <v>472</v>
      </c>
      <c r="C945" s="15" t="s">
        <v>13</v>
      </c>
      <c r="D945" s="15" t="s">
        <v>9</v>
      </c>
      <c r="E945" s="16">
        <v>14.02</v>
      </c>
      <c r="F945" s="15" t="s">
        <v>10</v>
      </c>
      <c r="G945" s="15">
        <v>28.04</v>
      </c>
      <c r="H945" s="17">
        <f t="shared" si="28"/>
        <v>10</v>
      </c>
      <c r="I945" s="17">
        <f>YEAR(Sheet1!$A945)</f>
        <v>2024</v>
      </c>
      <c r="J945" s="17">
        <f>DAY(Sheet1!$A945)</f>
        <v>7</v>
      </c>
      <c r="K945" s="18" t="s">
        <v>2022</v>
      </c>
      <c r="L945" s="19" t="str">
        <f t="shared" si="29"/>
        <v>Regular Customer</v>
      </c>
    </row>
    <row r="946" spans="1:12" ht="15.75" customHeight="1" x14ac:dyDescent="0.3">
      <c r="A946" s="7">
        <v>45473</v>
      </c>
      <c r="B946" s="8" t="s">
        <v>1743</v>
      </c>
      <c r="C946" s="8" t="s">
        <v>24</v>
      </c>
      <c r="D946" s="8" t="s">
        <v>19</v>
      </c>
      <c r="E946" s="9">
        <v>9.36</v>
      </c>
      <c r="F946" s="8" t="s">
        <v>11</v>
      </c>
      <c r="G946" s="8">
        <v>28.08</v>
      </c>
      <c r="H946" s="10">
        <f t="shared" si="28"/>
        <v>6</v>
      </c>
      <c r="I946" s="10">
        <f>YEAR(Sheet1!$A946)</f>
        <v>2024</v>
      </c>
      <c r="J946" s="10">
        <f>DAY(Sheet1!$A946)</f>
        <v>30</v>
      </c>
      <c r="K946" s="12" t="s">
        <v>2022</v>
      </c>
      <c r="L946" s="13" t="str">
        <f t="shared" si="29"/>
        <v>Regular Customer</v>
      </c>
    </row>
    <row r="947" spans="1:12" ht="15.75" customHeight="1" x14ac:dyDescent="0.3">
      <c r="A947" s="14">
        <v>45552</v>
      </c>
      <c r="B947" s="15" t="s">
        <v>199</v>
      </c>
      <c r="C947" s="15" t="s">
        <v>8</v>
      </c>
      <c r="D947" s="15" t="s">
        <v>14</v>
      </c>
      <c r="E947" s="16">
        <v>14.06</v>
      </c>
      <c r="F947" s="15" t="s">
        <v>11</v>
      </c>
      <c r="G947" s="15">
        <v>28.12</v>
      </c>
      <c r="H947" s="17">
        <f t="shared" si="28"/>
        <v>9</v>
      </c>
      <c r="I947" s="17">
        <f>YEAR(Sheet1!$A947)</f>
        <v>2024</v>
      </c>
      <c r="J947" s="17">
        <f>DAY(Sheet1!$A947)</f>
        <v>17</v>
      </c>
      <c r="K947" s="18" t="s">
        <v>2023</v>
      </c>
      <c r="L947" s="19" t="str">
        <f t="shared" si="29"/>
        <v>Regular Customer</v>
      </c>
    </row>
    <row r="948" spans="1:12" ht="15.75" customHeight="1" x14ac:dyDescent="0.3">
      <c r="A948" s="7">
        <v>45506</v>
      </c>
      <c r="B948" s="8" t="s">
        <v>1497</v>
      </c>
      <c r="C948" s="8" t="s">
        <v>18</v>
      </c>
      <c r="D948" s="8" t="s">
        <v>16</v>
      </c>
      <c r="E948" s="9">
        <v>28.14</v>
      </c>
      <c r="F948" s="8" t="s">
        <v>10</v>
      </c>
      <c r="G948" s="8">
        <v>28.14</v>
      </c>
      <c r="H948" s="10">
        <f t="shared" si="28"/>
        <v>8</v>
      </c>
      <c r="I948" s="10">
        <f>YEAR(Sheet1!$A948)</f>
        <v>2024</v>
      </c>
      <c r="J948" s="10">
        <f>DAY(Sheet1!$A948)</f>
        <v>2</v>
      </c>
      <c r="K948" s="12" t="s">
        <v>2023</v>
      </c>
      <c r="L948" s="13" t="str">
        <f t="shared" si="29"/>
        <v>Regular Customer</v>
      </c>
    </row>
    <row r="949" spans="1:12" ht="15.75" customHeight="1" x14ac:dyDescent="0.3">
      <c r="A949" s="14">
        <v>45732</v>
      </c>
      <c r="B949" s="15" t="s">
        <v>2015</v>
      </c>
      <c r="C949" s="15" t="s">
        <v>8</v>
      </c>
      <c r="D949" s="15" t="s">
        <v>9</v>
      </c>
      <c r="E949" s="16">
        <v>14.07</v>
      </c>
      <c r="F949" s="15" t="s">
        <v>10</v>
      </c>
      <c r="G949" s="15">
        <v>28.14</v>
      </c>
      <c r="H949" s="17">
        <f t="shared" si="28"/>
        <v>3</v>
      </c>
      <c r="I949" s="17">
        <f>YEAR(Sheet1!$A949)</f>
        <v>2025</v>
      </c>
      <c r="J949" s="17">
        <f>DAY(Sheet1!$A949)</f>
        <v>16</v>
      </c>
      <c r="K949" s="18" t="s">
        <v>2022</v>
      </c>
      <c r="L949" s="19" t="str">
        <f t="shared" si="29"/>
        <v>Regular Customer</v>
      </c>
    </row>
    <row r="950" spans="1:12" ht="15.75" customHeight="1" x14ac:dyDescent="0.3">
      <c r="A950" s="7">
        <v>45438</v>
      </c>
      <c r="B950" s="8" t="s">
        <v>868</v>
      </c>
      <c r="C950" s="8" t="s">
        <v>24</v>
      </c>
      <c r="D950" s="8" t="s">
        <v>14</v>
      </c>
      <c r="E950" s="9">
        <v>9.39</v>
      </c>
      <c r="F950" s="8" t="s">
        <v>11</v>
      </c>
      <c r="G950" s="8">
        <v>28.17</v>
      </c>
      <c r="H950" s="10">
        <f t="shared" si="28"/>
        <v>5</v>
      </c>
      <c r="I950" s="10">
        <f>YEAR(Sheet1!$A950)</f>
        <v>2024</v>
      </c>
      <c r="J950" s="10">
        <f>DAY(Sheet1!$A950)</f>
        <v>26</v>
      </c>
      <c r="K950" s="12" t="s">
        <v>2022</v>
      </c>
      <c r="L950" s="13" t="str">
        <f t="shared" si="29"/>
        <v>Regular Customer</v>
      </c>
    </row>
    <row r="951" spans="1:12" ht="15.75" customHeight="1" x14ac:dyDescent="0.3">
      <c r="A951" s="14">
        <v>45474</v>
      </c>
      <c r="B951" s="15" t="s">
        <v>1106</v>
      </c>
      <c r="C951" s="15" t="s">
        <v>18</v>
      </c>
      <c r="D951" s="15" t="s">
        <v>9</v>
      </c>
      <c r="E951" s="16">
        <v>9.4</v>
      </c>
      <c r="F951" s="15" t="s">
        <v>10</v>
      </c>
      <c r="G951" s="15">
        <v>28.2</v>
      </c>
      <c r="H951" s="17">
        <f t="shared" si="28"/>
        <v>7</v>
      </c>
      <c r="I951" s="17">
        <f>YEAR(Sheet1!$A951)</f>
        <v>2024</v>
      </c>
      <c r="J951" s="17">
        <f>DAY(Sheet1!$A951)</f>
        <v>1</v>
      </c>
      <c r="K951" s="18" t="s">
        <v>2022</v>
      </c>
      <c r="L951" s="19" t="str">
        <f t="shared" si="29"/>
        <v>Regular Customer</v>
      </c>
    </row>
    <row r="952" spans="1:12" ht="15.75" customHeight="1" x14ac:dyDescent="0.3">
      <c r="A952" s="7">
        <v>45554</v>
      </c>
      <c r="B952" s="8" t="s">
        <v>1725</v>
      </c>
      <c r="C952" s="8" t="s">
        <v>13</v>
      </c>
      <c r="D952" s="8" t="s">
        <v>14</v>
      </c>
      <c r="E952" s="9">
        <v>14.12</v>
      </c>
      <c r="F952" s="8" t="s">
        <v>10</v>
      </c>
      <c r="G952" s="8">
        <v>28.24</v>
      </c>
      <c r="H952" s="10">
        <f t="shared" si="28"/>
        <v>9</v>
      </c>
      <c r="I952" s="10">
        <f>YEAR(Sheet1!$A952)</f>
        <v>2024</v>
      </c>
      <c r="J952" s="10">
        <f>DAY(Sheet1!$A952)</f>
        <v>19</v>
      </c>
      <c r="K952" s="12" t="s">
        <v>2022</v>
      </c>
      <c r="L952" s="13" t="str">
        <f t="shared" si="29"/>
        <v>Regular Customer</v>
      </c>
    </row>
    <row r="953" spans="1:12" ht="15.75" customHeight="1" x14ac:dyDescent="0.3">
      <c r="A953" s="14">
        <v>45511</v>
      </c>
      <c r="B953" s="15" t="s">
        <v>134</v>
      </c>
      <c r="C953" s="15" t="s">
        <v>18</v>
      </c>
      <c r="D953" s="15" t="s">
        <v>14</v>
      </c>
      <c r="E953" s="16">
        <v>28.27</v>
      </c>
      <c r="F953" s="15" t="s">
        <v>10</v>
      </c>
      <c r="G953" s="15">
        <v>28.27</v>
      </c>
      <c r="H953" s="17">
        <f t="shared" si="28"/>
        <v>8</v>
      </c>
      <c r="I953" s="17">
        <f>YEAR(Sheet1!$A953)</f>
        <v>2024</v>
      </c>
      <c r="J953" s="17">
        <f>DAY(Sheet1!$A953)</f>
        <v>7</v>
      </c>
      <c r="K953" s="18" t="s">
        <v>2023</v>
      </c>
      <c r="L953" s="19" t="str">
        <f t="shared" si="29"/>
        <v>Regular Customer</v>
      </c>
    </row>
    <row r="954" spans="1:12" ht="15.75" customHeight="1" x14ac:dyDescent="0.3">
      <c r="A954" s="7">
        <v>45465</v>
      </c>
      <c r="B954" s="8" t="s">
        <v>341</v>
      </c>
      <c r="C954" s="8" t="s">
        <v>24</v>
      </c>
      <c r="D954" s="8" t="s">
        <v>16</v>
      </c>
      <c r="E954" s="9">
        <v>28.28</v>
      </c>
      <c r="F954" s="8" t="s">
        <v>10</v>
      </c>
      <c r="G954" s="8">
        <v>28.28</v>
      </c>
      <c r="H954" s="10">
        <f t="shared" si="28"/>
        <v>6</v>
      </c>
      <c r="I954" s="10">
        <f>YEAR(Sheet1!$A954)</f>
        <v>2024</v>
      </c>
      <c r="J954" s="10">
        <f>DAY(Sheet1!$A954)</f>
        <v>22</v>
      </c>
      <c r="K954" s="12" t="s">
        <v>2023</v>
      </c>
      <c r="L954" s="13" t="str">
        <f t="shared" si="29"/>
        <v>Regular Customer</v>
      </c>
    </row>
    <row r="955" spans="1:12" ht="15.75" customHeight="1" x14ac:dyDescent="0.3">
      <c r="A955" s="14">
        <v>45716</v>
      </c>
      <c r="B955" s="15" t="s">
        <v>81</v>
      </c>
      <c r="C955" s="15" t="s">
        <v>13</v>
      </c>
      <c r="D955" s="15" t="s">
        <v>19</v>
      </c>
      <c r="E955" s="16">
        <v>28.31</v>
      </c>
      <c r="F955" s="15" t="s">
        <v>11</v>
      </c>
      <c r="G955" s="15">
        <v>28.31</v>
      </c>
      <c r="H955" s="17">
        <f t="shared" si="28"/>
        <v>2</v>
      </c>
      <c r="I955" s="17">
        <f>YEAR(Sheet1!$A955)</f>
        <v>2025</v>
      </c>
      <c r="J955" s="17">
        <f>DAY(Sheet1!$A955)</f>
        <v>28</v>
      </c>
      <c r="K955" s="18" t="s">
        <v>2023</v>
      </c>
      <c r="L955" s="19" t="str">
        <f t="shared" si="29"/>
        <v>Regular Customer</v>
      </c>
    </row>
    <row r="956" spans="1:12" ht="15.75" customHeight="1" x14ac:dyDescent="0.3">
      <c r="A956" s="7">
        <v>45605</v>
      </c>
      <c r="B956" s="8" t="s">
        <v>1512</v>
      </c>
      <c r="C956" s="8" t="s">
        <v>8</v>
      </c>
      <c r="D956" s="8" t="s">
        <v>14</v>
      </c>
      <c r="E956" s="9">
        <v>14.16</v>
      </c>
      <c r="F956" s="8" t="s">
        <v>10</v>
      </c>
      <c r="G956" s="8">
        <v>28.32</v>
      </c>
      <c r="H956" s="10">
        <f t="shared" si="28"/>
        <v>11</v>
      </c>
      <c r="I956" s="10">
        <f>YEAR(Sheet1!$A956)</f>
        <v>2024</v>
      </c>
      <c r="J956" s="10">
        <f>DAY(Sheet1!$A956)</f>
        <v>9</v>
      </c>
      <c r="K956" s="12" t="s">
        <v>2022</v>
      </c>
      <c r="L956" s="13" t="str">
        <f t="shared" si="29"/>
        <v>Regular Customer</v>
      </c>
    </row>
    <row r="957" spans="1:12" ht="15.75" customHeight="1" x14ac:dyDescent="0.3">
      <c r="A957" s="14">
        <v>45700</v>
      </c>
      <c r="B957" s="15" t="s">
        <v>1866</v>
      </c>
      <c r="C957" s="15" t="s">
        <v>13</v>
      </c>
      <c r="D957" s="15" t="s">
        <v>16</v>
      </c>
      <c r="E957" s="16">
        <v>14.18</v>
      </c>
      <c r="F957" s="15" t="s">
        <v>10</v>
      </c>
      <c r="G957" s="15">
        <v>28.36</v>
      </c>
      <c r="H957" s="17">
        <f t="shared" si="28"/>
        <v>2</v>
      </c>
      <c r="I957" s="17">
        <f>YEAR(Sheet1!$A957)</f>
        <v>2025</v>
      </c>
      <c r="J957" s="17">
        <f>DAY(Sheet1!$A957)</f>
        <v>12</v>
      </c>
      <c r="K957" s="18" t="s">
        <v>2023</v>
      </c>
      <c r="L957" s="19" t="str">
        <f t="shared" si="29"/>
        <v>Regular Customer</v>
      </c>
    </row>
    <row r="958" spans="1:12" ht="15.75" customHeight="1" x14ac:dyDescent="0.3">
      <c r="A958" s="7">
        <v>45724</v>
      </c>
      <c r="B958" s="8" t="s">
        <v>834</v>
      </c>
      <c r="C958" s="8" t="s">
        <v>13</v>
      </c>
      <c r="D958" s="8" t="s">
        <v>14</v>
      </c>
      <c r="E958" s="9">
        <v>28.37</v>
      </c>
      <c r="F958" s="8" t="s">
        <v>10</v>
      </c>
      <c r="G958" s="8">
        <v>28.37</v>
      </c>
      <c r="H958" s="10">
        <f t="shared" si="28"/>
        <v>3</v>
      </c>
      <c r="I958" s="10">
        <f>YEAR(Sheet1!$A958)</f>
        <v>2025</v>
      </c>
      <c r="J958" s="10">
        <f>DAY(Sheet1!$A958)</f>
        <v>8</v>
      </c>
      <c r="K958" s="12" t="s">
        <v>2023</v>
      </c>
      <c r="L958" s="13" t="str">
        <f t="shared" si="29"/>
        <v>Regular Customer</v>
      </c>
    </row>
    <row r="959" spans="1:12" ht="15.75" customHeight="1" x14ac:dyDescent="0.3">
      <c r="A959" s="14">
        <v>45602</v>
      </c>
      <c r="B959" s="15" t="s">
        <v>996</v>
      </c>
      <c r="C959" s="15" t="s">
        <v>13</v>
      </c>
      <c r="D959" s="15" t="s">
        <v>9</v>
      </c>
      <c r="E959" s="16">
        <v>14.2</v>
      </c>
      <c r="F959" s="15" t="s">
        <v>10</v>
      </c>
      <c r="G959" s="15">
        <v>28.4</v>
      </c>
      <c r="H959" s="17">
        <f t="shared" si="28"/>
        <v>11</v>
      </c>
      <c r="I959" s="17">
        <f>YEAR(Sheet1!$A959)</f>
        <v>2024</v>
      </c>
      <c r="J959" s="17">
        <f>DAY(Sheet1!$A959)</f>
        <v>6</v>
      </c>
      <c r="K959" s="18" t="s">
        <v>2023</v>
      </c>
      <c r="L959" s="19" t="str">
        <f t="shared" si="29"/>
        <v>Regular Customer</v>
      </c>
    </row>
    <row r="960" spans="1:12" ht="15.75" customHeight="1" x14ac:dyDescent="0.3">
      <c r="A960" s="7">
        <v>45683</v>
      </c>
      <c r="B960" s="8" t="s">
        <v>698</v>
      </c>
      <c r="C960" s="8" t="s">
        <v>24</v>
      </c>
      <c r="D960" s="8" t="s">
        <v>16</v>
      </c>
      <c r="E960" s="9">
        <v>14.22</v>
      </c>
      <c r="F960" s="8" t="s">
        <v>11</v>
      </c>
      <c r="G960" s="8">
        <v>28.44</v>
      </c>
      <c r="H960" s="10">
        <f t="shared" si="28"/>
        <v>1</v>
      </c>
      <c r="I960" s="10">
        <f>YEAR(Sheet1!$A960)</f>
        <v>2025</v>
      </c>
      <c r="J960" s="10">
        <f>DAY(Sheet1!$A960)</f>
        <v>26</v>
      </c>
      <c r="K960" s="12" t="s">
        <v>2023</v>
      </c>
      <c r="L960" s="13" t="str">
        <f t="shared" si="29"/>
        <v>Regular Customer</v>
      </c>
    </row>
    <row r="961" spans="1:12" ht="15.75" customHeight="1" x14ac:dyDescent="0.3">
      <c r="A961" s="14">
        <v>45625</v>
      </c>
      <c r="B961" s="15" t="s">
        <v>585</v>
      </c>
      <c r="C961" s="15" t="s">
        <v>24</v>
      </c>
      <c r="D961" s="15" t="s">
        <v>16</v>
      </c>
      <c r="E961" s="16">
        <v>28.47</v>
      </c>
      <c r="F961" s="15" t="s">
        <v>10</v>
      </c>
      <c r="G961" s="15">
        <v>28.47</v>
      </c>
      <c r="H961" s="17">
        <f t="shared" si="28"/>
        <v>11</v>
      </c>
      <c r="I961" s="17">
        <f>YEAR(Sheet1!$A961)</f>
        <v>2024</v>
      </c>
      <c r="J961" s="17">
        <f>DAY(Sheet1!$A961)</f>
        <v>29</v>
      </c>
      <c r="K961" s="18" t="s">
        <v>2023</v>
      </c>
      <c r="L961" s="19" t="str">
        <f t="shared" si="29"/>
        <v>Regular Customer</v>
      </c>
    </row>
    <row r="962" spans="1:12" ht="15.75" customHeight="1" x14ac:dyDescent="0.3">
      <c r="A962" s="7">
        <v>45762</v>
      </c>
      <c r="B962" s="8" t="s">
        <v>345</v>
      </c>
      <c r="C962" s="8" t="s">
        <v>18</v>
      </c>
      <c r="D962" s="8" t="s">
        <v>9</v>
      </c>
      <c r="E962" s="9">
        <v>28.48</v>
      </c>
      <c r="F962" s="8" t="s">
        <v>11</v>
      </c>
      <c r="G962" s="8">
        <v>28.48</v>
      </c>
      <c r="H962" s="10">
        <f t="shared" ref="H962:H1025" si="30">MONTH(A962)</f>
        <v>4</v>
      </c>
      <c r="I962" s="10">
        <f>YEAR(Sheet1!$A962)</f>
        <v>2025</v>
      </c>
      <c r="J962" s="10">
        <f>DAY(Sheet1!$A962)</f>
        <v>15</v>
      </c>
      <c r="K962" s="12" t="s">
        <v>2022</v>
      </c>
      <c r="L962" s="13" t="str">
        <f t="shared" ref="L962:L1025" si="31">IF(G962&gt;50,"Premium Customer","Regular Customer")</f>
        <v>Regular Customer</v>
      </c>
    </row>
    <row r="963" spans="1:12" ht="15.75" customHeight="1" x14ac:dyDescent="0.3">
      <c r="A963" s="14">
        <v>45550</v>
      </c>
      <c r="B963" s="15" t="s">
        <v>1055</v>
      </c>
      <c r="C963" s="15" t="s">
        <v>24</v>
      </c>
      <c r="D963" s="15" t="s">
        <v>9</v>
      </c>
      <c r="E963" s="16">
        <v>28.49</v>
      </c>
      <c r="F963" s="15" t="s">
        <v>11</v>
      </c>
      <c r="G963" s="15">
        <v>28.49</v>
      </c>
      <c r="H963" s="17">
        <f t="shared" si="30"/>
        <v>9</v>
      </c>
      <c r="I963" s="17">
        <f>YEAR(Sheet1!$A963)</f>
        <v>2024</v>
      </c>
      <c r="J963" s="17">
        <f>DAY(Sheet1!$A963)</f>
        <v>15</v>
      </c>
      <c r="K963" s="18" t="s">
        <v>2023</v>
      </c>
      <c r="L963" s="19" t="str">
        <f t="shared" si="31"/>
        <v>Regular Customer</v>
      </c>
    </row>
    <row r="964" spans="1:12" ht="15.75" customHeight="1" x14ac:dyDescent="0.3">
      <c r="A964" s="7">
        <v>45459</v>
      </c>
      <c r="B964" s="8" t="s">
        <v>1127</v>
      </c>
      <c r="C964" s="8" t="s">
        <v>18</v>
      </c>
      <c r="D964" s="8" t="s">
        <v>9</v>
      </c>
      <c r="E964" s="9">
        <v>9.5</v>
      </c>
      <c r="F964" s="8" t="s">
        <v>11</v>
      </c>
      <c r="G964" s="8">
        <v>28.5</v>
      </c>
      <c r="H964" s="10">
        <f t="shared" si="30"/>
        <v>6</v>
      </c>
      <c r="I964" s="10">
        <f>YEAR(Sheet1!$A964)</f>
        <v>2024</v>
      </c>
      <c r="J964" s="10">
        <f>DAY(Sheet1!$A964)</f>
        <v>16</v>
      </c>
      <c r="K964" s="12" t="s">
        <v>2023</v>
      </c>
      <c r="L964" s="13" t="str">
        <f t="shared" si="31"/>
        <v>Regular Customer</v>
      </c>
    </row>
    <row r="965" spans="1:12" ht="15.75" customHeight="1" x14ac:dyDescent="0.3">
      <c r="A965" s="14">
        <v>45727</v>
      </c>
      <c r="B965" s="15" t="s">
        <v>946</v>
      </c>
      <c r="C965" s="15" t="s">
        <v>18</v>
      </c>
      <c r="D965" s="15" t="s">
        <v>14</v>
      </c>
      <c r="E965" s="16">
        <v>9.5</v>
      </c>
      <c r="F965" s="15" t="s">
        <v>11</v>
      </c>
      <c r="G965" s="15">
        <v>28.5</v>
      </c>
      <c r="H965" s="17">
        <f t="shared" si="30"/>
        <v>3</v>
      </c>
      <c r="I965" s="17">
        <f>YEAR(Sheet1!$A965)</f>
        <v>2025</v>
      </c>
      <c r="J965" s="17">
        <f>DAY(Sheet1!$A965)</f>
        <v>11</v>
      </c>
      <c r="K965" s="18" t="s">
        <v>2022</v>
      </c>
      <c r="L965" s="19" t="str">
        <f t="shared" si="31"/>
        <v>Regular Customer</v>
      </c>
    </row>
    <row r="966" spans="1:12" ht="15.75" customHeight="1" x14ac:dyDescent="0.3">
      <c r="A966" s="7">
        <v>45729</v>
      </c>
      <c r="B966" s="8" t="s">
        <v>913</v>
      </c>
      <c r="C966" s="8" t="s">
        <v>13</v>
      </c>
      <c r="D966" s="8" t="s">
        <v>9</v>
      </c>
      <c r="E966" s="9">
        <v>9.5</v>
      </c>
      <c r="F966" s="8" t="s">
        <v>11</v>
      </c>
      <c r="G966" s="8">
        <v>28.5</v>
      </c>
      <c r="H966" s="10">
        <f t="shared" si="30"/>
        <v>3</v>
      </c>
      <c r="I966" s="10">
        <f>YEAR(Sheet1!$A966)</f>
        <v>2025</v>
      </c>
      <c r="J966" s="10">
        <f>DAY(Sheet1!$A966)</f>
        <v>13</v>
      </c>
      <c r="K966" s="12" t="s">
        <v>2022</v>
      </c>
      <c r="L966" s="13" t="str">
        <f t="shared" si="31"/>
        <v>Regular Customer</v>
      </c>
    </row>
    <row r="967" spans="1:12" ht="15.75" customHeight="1" x14ac:dyDescent="0.3">
      <c r="A967" s="14">
        <v>45581</v>
      </c>
      <c r="B967" s="15" t="s">
        <v>186</v>
      </c>
      <c r="C967" s="15" t="s">
        <v>8</v>
      </c>
      <c r="D967" s="15" t="s">
        <v>9</v>
      </c>
      <c r="E967" s="16">
        <v>14.27</v>
      </c>
      <c r="F967" s="15" t="s">
        <v>10</v>
      </c>
      <c r="G967" s="15">
        <v>28.54</v>
      </c>
      <c r="H967" s="17">
        <f t="shared" si="30"/>
        <v>10</v>
      </c>
      <c r="I967" s="17">
        <f>YEAR(Sheet1!$A967)</f>
        <v>2024</v>
      </c>
      <c r="J967" s="17">
        <f>DAY(Sheet1!$A967)</f>
        <v>16</v>
      </c>
      <c r="K967" s="18" t="s">
        <v>2022</v>
      </c>
      <c r="L967" s="19" t="str">
        <f t="shared" si="31"/>
        <v>Regular Customer</v>
      </c>
    </row>
    <row r="968" spans="1:12" ht="15.75" customHeight="1" x14ac:dyDescent="0.3">
      <c r="A968" s="7">
        <v>45751</v>
      </c>
      <c r="B968" s="8" t="s">
        <v>1908</v>
      </c>
      <c r="C968" s="8" t="s">
        <v>13</v>
      </c>
      <c r="D968" s="8" t="s">
        <v>19</v>
      </c>
      <c r="E968" s="9">
        <v>14.27</v>
      </c>
      <c r="F968" s="8" t="s">
        <v>11</v>
      </c>
      <c r="G968" s="8">
        <v>28.54</v>
      </c>
      <c r="H968" s="10">
        <f t="shared" si="30"/>
        <v>4</v>
      </c>
      <c r="I968" s="10">
        <f>YEAR(Sheet1!$A968)</f>
        <v>2025</v>
      </c>
      <c r="J968" s="10">
        <f>DAY(Sheet1!$A968)</f>
        <v>4</v>
      </c>
      <c r="K968" s="12" t="s">
        <v>2022</v>
      </c>
      <c r="L968" s="13" t="str">
        <f t="shared" si="31"/>
        <v>Regular Customer</v>
      </c>
    </row>
    <row r="969" spans="1:12" ht="15.75" customHeight="1" x14ac:dyDescent="0.3">
      <c r="A969" s="14">
        <v>45443</v>
      </c>
      <c r="B969" s="15" t="s">
        <v>80</v>
      </c>
      <c r="C969" s="15" t="s">
        <v>8</v>
      </c>
      <c r="D969" s="15" t="s">
        <v>14</v>
      </c>
      <c r="E969" s="16">
        <v>9.52</v>
      </c>
      <c r="F969" s="15" t="s">
        <v>10</v>
      </c>
      <c r="G969" s="15">
        <v>28.56</v>
      </c>
      <c r="H969" s="17">
        <f t="shared" si="30"/>
        <v>5</v>
      </c>
      <c r="I969" s="17">
        <f>YEAR(Sheet1!$A969)</f>
        <v>2024</v>
      </c>
      <c r="J969" s="17">
        <f>DAY(Sheet1!$A969)</f>
        <v>31</v>
      </c>
      <c r="K969" s="18" t="s">
        <v>2023</v>
      </c>
      <c r="L969" s="19" t="str">
        <f t="shared" si="31"/>
        <v>Regular Customer</v>
      </c>
    </row>
    <row r="970" spans="1:12" ht="15.75" customHeight="1" x14ac:dyDescent="0.3">
      <c r="A970" s="7">
        <v>45619</v>
      </c>
      <c r="B970" s="8" t="s">
        <v>494</v>
      </c>
      <c r="C970" s="8" t="s">
        <v>24</v>
      </c>
      <c r="D970" s="8" t="s">
        <v>19</v>
      </c>
      <c r="E970" s="9">
        <v>28.58</v>
      </c>
      <c r="F970" s="8" t="s">
        <v>10</v>
      </c>
      <c r="G970" s="8">
        <v>28.58</v>
      </c>
      <c r="H970" s="10">
        <f t="shared" si="30"/>
        <v>11</v>
      </c>
      <c r="I970" s="10">
        <f>YEAR(Sheet1!$A970)</f>
        <v>2024</v>
      </c>
      <c r="J970" s="10">
        <f>DAY(Sheet1!$A970)</f>
        <v>23</v>
      </c>
      <c r="K970" s="12" t="s">
        <v>2023</v>
      </c>
      <c r="L970" s="13" t="str">
        <f t="shared" si="31"/>
        <v>Regular Customer</v>
      </c>
    </row>
    <row r="971" spans="1:12" ht="15.75" customHeight="1" x14ac:dyDescent="0.3">
      <c r="A971" s="14">
        <v>45622</v>
      </c>
      <c r="B971" s="15" t="s">
        <v>1612</v>
      </c>
      <c r="C971" s="15" t="s">
        <v>24</v>
      </c>
      <c r="D971" s="15" t="s">
        <v>9</v>
      </c>
      <c r="E971" s="16">
        <v>28.59</v>
      </c>
      <c r="F971" s="15" t="s">
        <v>11</v>
      </c>
      <c r="G971" s="15">
        <v>28.59</v>
      </c>
      <c r="H971" s="17">
        <f t="shared" si="30"/>
        <v>11</v>
      </c>
      <c r="I971" s="17">
        <f>YEAR(Sheet1!$A971)</f>
        <v>2024</v>
      </c>
      <c r="J971" s="17">
        <f>DAY(Sheet1!$A971)</f>
        <v>26</v>
      </c>
      <c r="K971" s="18" t="s">
        <v>2023</v>
      </c>
      <c r="L971" s="19" t="str">
        <f t="shared" si="31"/>
        <v>Regular Customer</v>
      </c>
    </row>
    <row r="972" spans="1:12" ht="15.75" customHeight="1" x14ac:dyDescent="0.3">
      <c r="A972" s="7">
        <v>45689</v>
      </c>
      <c r="B972" s="8" t="s">
        <v>137</v>
      </c>
      <c r="C972" s="8" t="s">
        <v>24</v>
      </c>
      <c r="D972" s="8" t="s">
        <v>16</v>
      </c>
      <c r="E972" s="9">
        <v>28.59</v>
      </c>
      <c r="F972" s="8" t="s">
        <v>10</v>
      </c>
      <c r="G972" s="8">
        <v>28.59</v>
      </c>
      <c r="H972" s="10">
        <f t="shared" si="30"/>
        <v>2</v>
      </c>
      <c r="I972" s="10">
        <f>YEAR(Sheet1!$A972)</f>
        <v>2025</v>
      </c>
      <c r="J972" s="10">
        <f>DAY(Sheet1!$A972)</f>
        <v>1</v>
      </c>
      <c r="K972" s="12" t="s">
        <v>2022</v>
      </c>
      <c r="L972" s="13" t="str">
        <f t="shared" si="31"/>
        <v>Regular Customer</v>
      </c>
    </row>
    <row r="973" spans="1:12" ht="15.75" customHeight="1" x14ac:dyDescent="0.3">
      <c r="A973" s="14">
        <v>45476</v>
      </c>
      <c r="B973" s="15" t="s">
        <v>1339</v>
      </c>
      <c r="C973" s="15" t="s">
        <v>18</v>
      </c>
      <c r="D973" s="15" t="s">
        <v>16</v>
      </c>
      <c r="E973" s="16">
        <v>14.31</v>
      </c>
      <c r="F973" s="15" t="s">
        <v>11</v>
      </c>
      <c r="G973" s="15">
        <v>28.62</v>
      </c>
      <c r="H973" s="17">
        <f t="shared" si="30"/>
        <v>7</v>
      </c>
      <c r="I973" s="17">
        <f>YEAR(Sheet1!$A973)</f>
        <v>2024</v>
      </c>
      <c r="J973" s="17">
        <f>DAY(Sheet1!$A973)</f>
        <v>3</v>
      </c>
      <c r="K973" s="18" t="s">
        <v>2023</v>
      </c>
      <c r="L973" s="19" t="str">
        <f t="shared" si="31"/>
        <v>Regular Customer</v>
      </c>
    </row>
    <row r="974" spans="1:12" ht="15.75" customHeight="1" x14ac:dyDescent="0.3">
      <c r="A974" s="7">
        <v>45440</v>
      </c>
      <c r="B974" s="8" t="s">
        <v>789</v>
      </c>
      <c r="C974" s="8" t="s">
        <v>8</v>
      </c>
      <c r="D974" s="8" t="s">
        <v>14</v>
      </c>
      <c r="E974" s="9">
        <v>28.65</v>
      </c>
      <c r="F974" s="8" t="s">
        <v>10</v>
      </c>
      <c r="G974" s="8">
        <v>28.65</v>
      </c>
      <c r="H974" s="10">
        <f t="shared" si="30"/>
        <v>5</v>
      </c>
      <c r="I974" s="10">
        <f>YEAR(Sheet1!$A974)</f>
        <v>2024</v>
      </c>
      <c r="J974" s="10">
        <f>DAY(Sheet1!$A974)</f>
        <v>28</v>
      </c>
      <c r="K974" s="12" t="s">
        <v>2023</v>
      </c>
      <c r="L974" s="13" t="str">
        <f t="shared" si="31"/>
        <v>Regular Customer</v>
      </c>
    </row>
    <row r="975" spans="1:12" ht="15.75" customHeight="1" x14ac:dyDescent="0.3">
      <c r="A975" s="14">
        <v>45634</v>
      </c>
      <c r="B975" s="15" t="s">
        <v>1398</v>
      </c>
      <c r="C975" s="15" t="s">
        <v>18</v>
      </c>
      <c r="D975" s="15" t="s">
        <v>16</v>
      </c>
      <c r="E975" s="16">
        <v>28.71</v>
      </c>
      <c r="F975" s="15" t="s">
        <v>10</v>
      </c>
      <c r="G975" s="15">
        <v>28.71</v>
      </c>
      <c r="H975" s="17">
        <f t="shared" si="30"/>
        <v>12</v>
      </c>
      <c r="I975" s="17">
        <f>YEAR(Sheet1!$A975)</f>
        <v>2024</v>
      </c>
      <c r="J975" s="17">
        <f>DAY(Sheet1!$A975)</f>
        <v>8</v>
      </c>
      <c r="K975" s="18" t="s">
        <v>2022</v>
      </c>
      <c r="L975" s="19" t="str">
        <f t="shared" si="31"/>
        <v>Regular Customer</v>
      </c>
    </row>
    <row r="976" spans="1:12" ht="15.75" customHeight="1" x14ac:dyDescent="0.3">
      <c r="A976" s="7">
        <v>45776</v>
      </c>
      <c r="B976" s="8" t="s">
        <v>1787</v>
      </c>
      <c r="C976" s="8" t="s">
        <v>8</v>
      </c>
      <c r="D976" s="8" t="s">
        <v>16</v>
      </c>
      <c r="E976" s="9">
        <v>9.58</v>
      </c>
      <c r="F976" s="8" t="s">
        <v>10</v>
      </c>
      <c r="G976" s="8">
        <v>28.74</v>
      </c>
      <c r="H976" s="10">
        <f t="shared" si="30"/>
        <v>4</v>
      </c>
      <c r="I976" s="10">
        <f>YEAR(Sheet1!$A976)</f>
        <v>2025</v>
      </c>
      <c r="J976" s="10">
        <f>DAY(Sheet1!$A976)</f>
        <v>29</v>
      </c>
      <c r="K976" s="12" t="s">
        <v>2023</v>
      </c>
      <c r="L976" s="13" t="str">
        <f t="shared" si="31"/>
        <v>Regular Customer</v>
      </c>
    </row>
    <row r="977" spans="1:12" ht="15.75" customHeight="1" x14ac:dyDescent="0.3">
      <c r="A977" s="14">
        <v>45521</v>
      </c>
      <c r="B977" s="15" t="s">
        <v>125</v>
      </c>
      <c r="C977" s="15" t="s">
        <v>13</v>
      </c>
      <c r="D977" s="15" t="s">
        <v>14</v>
      </c>
      <c r="E977" s="16">
        <v>28.76</v>
      </c>
      <c r="F977" s="15" t="s">
        <v>11</v>
      </c>
      <c r="G977" s="15">
        <v>28.76</v>
      </c>
      <c r="H977" s="17">
        <f t="shared" si="30"/>
        <v>8</v>
      </c>
      <c r="I977" s="17">
        <f>YEAR(Sheet1!$A977)</f>
        <v>2024</v>
      </c>
      <c r="J977" s="17">
        <f>DAY(Sheet1!$A977)</f>
        <v>17</v>
      </c>
      <c r="K977" s="18" t="s">
        <v>2022</v>
      </c>
      <c r="L977" s="19" t="str">
        <f t="shared" si="31"/>
        <v>Regular Customer</v>
      </c>
    </row>
    <row r="978" spans="1:12" ht="15.75" customHeight="1" x14ac:dyDescent="0.3">
      <c r="A978" s="7">
        <v>45662</v>
      </c>
      <c r="B978" s="8" t="s">
        <v>1244</v>
      </c>
      <c r="C978" s="8" t="s">
        <v>8</v>
      </c>
      <c r="D978" s="8" t="s">
        <v>19</v>
      </c>
      <c r="E978" s="9">
        <v>14.38</v>
      </c>
      <c r="F978" s="8" t="s">
        <v>11</v>
      </c>
      <c r="G978" s="8">
        <v>28.76</v>
      </c>
      <c r="H978" s="10">
        <f t="shared" si="30"/>
        <v>1</v>
      </c>
      <c r="I978" s="10">
        <f>YEAR(Sheet1!$A978)</f>
        <v>2025</v>
      </c>
      <c r="J978" s="10">
        <f>DAY(Sheet1!$A978)</f>
        <v>5</v>
      </c>
      <c r="K978" s="12" t="s">
        <v>2023</v>
      </c>
      <c r="L978" s="13" t="str">
        <f t="shared" si="31"/>
        <v>Regular Customer</v>
      </c>
    </row>
    <row r="979" spans="1:12" ht="15.75" customHeight="1" x14ac:dyDescent="0.3">
      <c r="A979" s="14">
        <v>45556</v>
      </c>
      <c r="B979" s="15" t="s">
        <v>1586</v>
      </c>
      <c r="C979" s="15" t="s">
        <v>8</v>
      </c>
      <c r="D979" s="15" t="s">
        <v>14</v>
      </c>
      <c r="E979" s="16">
        <v>14.39</v>
      </c>
      <c r="F979" s="15" t="s">
        <v>10</v>
      </c>
      <c r="G979" s="15">
        <v>28.78</v>
      </c>
      <c r="H979" s="17">
        <f t="shared" si="30"/>
        <v>9</v>
      </c>
      <c r="I979" s="17">
        <f>YEAR(Sheet1!$A979)</f>
        <v>2024</v>
      </c>
      <c r="J979" s="17">
        <f>DAY(Sheet1!$A979)</f>
        <v>21</v>
      </c>
      <c r="K979" s="18" t="s">
        <v>2023</v>
      </c>
      <c r="L979" s="19" t="str">
        <f t="shared" si="31"/>
        <v>Regular Customer</v>
      </c>
    </row>
    <row r="980" spans="1:12" ht="15.75" customHeight="1" x14ac:dyDescent="0.3">
      <c r="A980" s="7">
        <v>45596</v>
      </c>
      <c r="B980" s="8" t="s">
        <v>1441</v>
      </c>
      <c r="C980" s="8" t="s">
        <v>13</v>
      </c>
      <c r="D980" s="8" t="s">
        <v>19</v>
      </c>
      <c r="E980" s="9">
        <v>9.61</v>
      </c>
      <c r="F980" s="8" t="s">
        <v>10</v>
      </c>
      <c r="G980" s="8">
        <v>28.83</v>
      </c>
      <c r="H980" s="10">
        <f t="shared" si="30"/>
        <v>10</v>
      </c>
      <c r="I980" s="10">
        <f>YEAR(Sheet1!$A980)</f>
        <v>2024</v>
      </c>
      <c r="J980" s="10">
        <f>DAY(Sheet1!$A980)</f>
        <v>31</v>
      </c>
      <c r="K980" s="12" t="s">
        <v>2023</v>
      </c>
      <c r="L980" s="13" t="str">
        <f t="shared" si="31"/>
        <v>Regular Customer</v>
      </c>
    </row>
    <row r="981" spans="1:12" ht="15.75" customHeight="1" x14ac:dyDescent="0.3">
      <c r="A981" s="14">
        <v>45738</v>
      </c>
      <c r="B981" s="15" t="s">
        <v>414</v>
      </c>
      <c r="C981" s="15" t="s">
        <v>24</v>
      </c>
      <c r="D981" s="15" t="s">
        <v>9</v>
      </c>
      <c r="E981" s="16">
        <v>9.61</v>
      </c>
      <c r="F981" s="15" t="s">
        <v>11</v>
      </c>
      <c r="G981" s="15">
        <v>28.83</v>
      </c>
      <c r="H981" s="17">
        <f t="shared" si="30"/>
        <v>3</v>
      </c>
      <c r="I981" s="17">
        <f>YEAR(Sheet1!$A981)</f>
        <v>2025</v>
      </c>
      <c r="J981" s="17">
        <f>DAY(Sheet1!$A981)</f>
        <v>22</v>
      </c>
      <c r="K981" s="18" t="s">
        <v>2022</v>
      </c>
      <c r="L981" s="19" t="str">
        <f t="shared" si="31"/>
        <v>Regular Customer</v>
      </c>
    </row>
    <row r="982" spans="1:12" ht="15.75" customHeight="1" x14ac:dyDescent="0.3">
      <c r="A982" s="7">
        <v>45773</v>
      </c>
      <c r="B982" s="8" t="s">
        <v>1724</v>
      </c>
      <c r="C982" s="8" t="s">
        <v>24</v>
      </c>
      <c r="D982" s="8" t="s">
        <v>9</v>
      </c>
      <c r="E982" s="9">
        <v>14.42</v>
      </c>
      <c r="F982" s="8" t="s">
        <v>10</v>
      </c>
      <c r="G982" s="8">
        <v>28.84</v>
      </c>
      <c r="H982" s="10">
        <f t="shared" si="30"/>
        <v>4</v>
      </c>
      <c r="I982" s="10">
        <f>YEAR(Sheet1!$A982)</f>
        <v>2025</v>
      </c>
      <c r="J982" s="10">
        <f>DAY(Sheet1!$A982)</f>
        <v>26</v>
      </c>
      <c r="K982" s="12" t="s">
        <v>2023</v>
      </c>
      <c r="L982" s="13" t="str">
        <f t="shared" si="31"/>
        <v>Regular Customer</v>
      </c>
    </row>
    <row r="983" spans="1:12" ht="15.75" customHeight="1" x14ac:dyDescent="0.3">
      <c r="A983" s="14">
        <v>45545</v>
      </c>
      <c r="B983" s="15" t="s">
        <v>1605</v>
      </c>
      <c r="C983" s="15" t="s">
        <v>24</v>
      </c>
      <c r="D983" s="15" t="s">
        <v>16</v>
      </c>
      <c r="E983" s="16">
        <v>9.6199999999999992</v>
      </c>
      <c r="F983" s="15" t="s">
        <v>11</v>
      </c>
      <c r="G983" s="15">
        <v>28.86</v>
      </c>
      <c r="H983" s="17">
        <f t="shared" si="30"/>
        <v>9</v>
      </c>
      <c r="I983" s="17">
        <f>YEAR(Sheet1!$A983)</f>
        <v>2024</v>
      </c>
      <c r="J983" s="17">
        <f>DAY(Sheet1!$A983)</f>
        <v>10</v>
      </c>
      <c r="K983" s="18" t="s">
        <v>2022</v>
      </c>
      <c r="L983" s="19" t="str">
        <f t="shared" si="31"/>
        <v>Regular Customer</v>
      </c>
    </row>
    <row r="984" spans="1:12" ht="15.75" customHeight="1" x14ac:dyDescent="0.3">
      <c r="A984" s="7">
        <v>45543</v>
      </c>
      <c r="B984" s="8" t="s">
        <v>240</v>
      </c>
      <c r="C984" s="8" t="s">
        <v>8</v>
      </c>
      <c r="D984" s="8" t="s">
        <v>14</v>
      </c>
      <c r="E984" s="9">
        <v>28.88</v>
      </c>
      <c r="F984" s="8" t="s">
        <v>10</v>
      </c>
      <c r="G984" s="8">
        <v>28.88</v>
      </c>
      <c r="H984" s="10">
        <f t="shared" si="30"/>
        <v>9</v>
      </c>
      <c r="I984" s="10">
        <f>YEAR(Sheet1!$A984)</f>
        <v>2024</v>
      </c>
      <c r="J984" s="10">
        <f>DAY(Sheet1!$A984)</f>
        <v>8</v>
      </c>
      <c r="K984" s="12" t="s">
        <v>2022</v>
      </c>
      <c r="L984" s="13" t="str">
        <f t="shared" si="31"/>
        <v>Regular Customer</v>
      </c>
    </row>
    <row r="985" spans="1:12" ht="15.75" customHeight="1" x14ac:dyDescent="0.3">
      <c r="A985" s="14">
        <v>45594</v>
      </c>
      <c r="B985" s="15" t="s">
        <v>1302</v>
      </c>
      <c r="C985" s="15" t="s">
        <v>24</v>
      </c>
      <c r="D985" s="15" t="s">
        <v>9</v>
      </c>
      <c r="E985" s="16">
        <v>14.45</v>
      </c>
      <c r="F985" s="15" t="s">
        <v>11</v>
      </c>
      <c r="G985" s="15">
        <v>28.9</v>
      </c>
      <c r="H985" s="17">
        <f t="shared" si="30"/>
        <v>10</v>
      </c>
      <c r="I985" s="17">
        <f>YEAR(Sheet1!$A985)</f>
        <v>2024</v>
      </c>
      <c r="J985" s="17">
        <f>DAY(Sheet1!$A985)</f>
        <v>29</v>
      </c>
      <c r="K985" s="18" t="s">
        <v>2022</v>
      </c>
      <c r="L985" s="19" t="str">
        <f t="shared" si="31"/>
        <v>Regular Customer</v>
      </c>
    </row>
    <row r="986" spans="1:12" ht="15.75" customHeight="1" x14ac:dyDescent="0.3">
      <c r="A986" s="7">
        <v>45466</v>
      </c>
      <c r="B986" s="8" t="s">
        <v>320</v>
      </c>
      <c r="C986" s="8" t="s">
        <v>8</v>
      </c>
      <c r="D986" s="8" t="s">
        <v>9</v>
      </c>
      <c r="E986" s="9">
        <v>28.92</v>
      </c>
      <c r="F986" s="8" t="s">
        <v>11</v>
      </c>
      <c r="G986" s="8">
        <v>28.92</v>
      </c>
      <c r="H986" s="10">
        <f t="shared" si="30"/>
        <v>6</v>
      </c>
      <c r="I986" s="10">
        <f>YEAR(Sheet1!$A986)</f>
        <v>2024</v>
      </c>
      <c r="J986" s="10">
        <f>DAY(Sheet1!$A986)</f>
        <v>23</v>
      </c>
      <c r="K986" s="12" t="s">
        <v>2022</v>
      </c>
      <c r="L986" s="13" t="str">
        <f t="shared" si="31"/>
        <v>Regular Customer</v>
      </c>
    </row>
    <row r="987" spans="1:12" ht="15.75" customHeight="1" x14ac:dyDescent="0.3">
      <c r="A987" s="14">
        <v>45737</v>
      </c>
      <c r="B987" s="15" t="s">
        <v>1274</v>
      </c>
      <c r="C987" s="15" t="s">
        <v>13</v>
      </c>
      <c r="D987" s="15" t="s">
        <v>9</v>
      </c>
      <c r="E987" s="16">
        <v>9.64</v>
      </c>
      <c r="F987" s="15" t="s">
        <v>11</v>
      </c>
      <c r="G987" s="15">
        <v>28.92</v>
      </c>
      <c r="H987" s="17">
        <f t="shared" si="30"/>
        <v>3</v>
      </c>
      <c r="I987" s="17">
        <f>YEAR(Sheet1!$A987)</f>
        <v>2025</v>
      </c>
      <c r="J987" s="17">
        <f>DAY(Sheet1!$A987)</f>
        <v>21</v>
      </c>
      <c r="K987" s="18" t="s">
        <v>2023</v>
      </c>
      <c r="L987" s="19" t="str">
        <f t="shared" si="31"/>
        <v>Regular Customer</v>
      </c>
    </row>
    <row r="988" spans="1:12" ht="15.75" customHeight="1" x14ac:dyDescent="0.3">
      <c r="A988" s="7">
        <v>45501</v>
      </c>
      <c r="B988" s="8" t="s">
        <v>579</v>
      </c>
      <c r="C988" s="8" t="s">
        <v>8</v>
      </c>
      <c r="D988" s="8" t="s">
        <v>9</v>
      </c>
      <c r="E988" s="9">
        <v>28.95</v>
      </c>
      <c r="F988" s="8" t="s">
        <v>10</v>
      </c>
      <c r="G988" s="8">
        <v>28.95</v>
      </c>
      <c r="H988" s="10">
        <f t="shared" si="30"/>
        <v>7</v>
      </c>
      <c r="I988" s="10">
        <f>YEAR(Sheet1!$A988)</f>
        <v>2024</v>
      </c>
      <c r="J988" s="10">
        <f>DAY(Sheet1!$A988)</f>
        <v>28</v>
      </c>
      <c r="K988" s="12" t="s">
        <v>2022</v>
      </c>
      <c r="L988" s="13" t="str">
        <f t="shared" si="31"/>
        <v>Regular Customer</v>
      </c>
    </row>
    <row r="989" spans="1:12" ht="15.75" customHeight="1" x14ac:dyDescent="0.3">
      <c r="A989" s="14">
        <v>45758</v>
      </c>
      <c r="B989" s="15" t="s">
        <v>1279</v>
      </c>
      <c r="C989" s="15" t="s">
        <v>18</v>
      </c>
      <c r="D989" s="15" t="s">
        <v>19</v>
      </c>
      <c r="E989" s="16">
        <v>28.95</v>
      </c>
      <c r="F989" s="15" t="s">
        <v>11</v>
      </c>
      <c r="G989" s="15">
        <v>28.95</v>
      </c>
      <c r="H989" s="17">
        <f t="shared" si="30"/>
        <v>4</v>
      </c>
      <c r="I989" s="17">
        <f>YEAR(Sheet1!$A989)</f>
        <v>2025</v>
      </c>
      <c r="J989" s="17">
        <f>DAY(Sheet1!$A989)</f>
        <v>11</v>
      </c>
      <c r="K989" s="18" t="s">
        <v>2022</v>
      </c>
      <c r="L989" s="19" t="str">
        <f t="shared" si="31"/>
        <v>Regular Customer</v>
      </c>
    </row>
    <row r="990" spans="1:12" ht="15.75" customHeight="1" x14ac:dyDescent="0.3">
      <c r="A990" s="7">
        <v>45665</v>
      </c>
      <c r="B990" s="8" t="s">
        <v>474</v>
      </c>
      <c r="C990" s="8" t="s">
        <v>18</v>
      </c>
      <c r="D990" s="8" t="s">
        <v>19</v>
      </c>
      <c r="E990" s="9">
        <v>28.98</v>
      </c>
      <c r="F990" s="8" t="s">
        <v>10</v>
      </c>
      <c r="G990" s="8">
        <v>28.98</v>
      </c>
      <c r="H990" s="10">
        <f t="shared" si="30"/>
        <v>1</v>
      </c>
      <c r="I990" s="10">
        <f>YEAR(Sheet1!$A990)</f>
        <v>2025</v>
      </c>
      <c r="J990" s="10">
        <f>DAY(Sheet1!$A990)</f>
        <v>8</v>
      </c>
      <c r="K990" s="12" t="s">
        <v>2023</v>
      </c>
      <c r="L990" s="13" t="str">
        <f t="shared" si="31"/>
        <v>Regular Customer</v>
      </c>
    </row>
    <row r="991" spans="1:12" ht="15.75" customHeight="1" x14ac:dyDescent="0.3">
      <c r="A991" s="14">
        <v>45439</v>
      </c>
      <c r="B991" s="15" t="s">
        <v>1943</v>
      </c>
      <c r="C991" s="15" t="s">
        <v>24</v>
      </c>
      <c r="D991" s="15" t="s">
        <v>16</v>
      </c>
      <c r="E991" s="16">
        <v>14.51</v>
      </c>
      <c r="F991" s="15" t="s">
        <v>10</v>
      </c>
      <c r="G991" s="15">
        <v>29.02</v>
      </c>
      <c r="H991" s="17">
        <f t="shared" si="30"/>
        <v>5</v>
      </c>
      <c r="I991" s="17">
        <f>YEAR(Sheet1!$A991)</f>
        <v>2024</v>
      </c>
      <c r="J991" s="17">
        <f>DAY(Sheet1!$A991)</f>
        <v>27</v>
      </c>
      <c r="K991" s="18" t="s">
        <v>2022</v>
      </c>
      <c r="L991" s="19" t="str">
        <f t="shared" si="31"/>
        <v>Regular Customer</v>
      </c>
    </row>
    <row r="992" spans="1:12" ht="15.75" customHeight="1" x14ac:dyDescent="0.3">
      <c r="A992" s="7">
        <v>45505</v>
      </c>
      <c r="B992" s="8" t="s">
        <v>712</v>
      </c>
      <c r="C992" s="8" t="s">
        <v>24</v>
      </c>
      <c r="D992" s="8" t="s">
        <v>14</v>
      </c>
      <c r="E992" s="9">
        <v>29.09</v>
      </c>
      <c r="F992" s="8" t="s">
        <v>11</v>
      </c>
      <c r="G992" s="8">
        <v>29.09</v>
      </c>
      <c r="H992" s="10">
        <f t="shared" si="30"/>
        <v>8</v>
      </c>
      <c r="I992" s="10">
        <f>YEAR(Sheet1!$A992)</f>
        <v>2024</v>
      </c>
      <c r="J992" s="10">
        <f>DAY(Sheet1!$A992)</f>
        <v>1</v>
      </c>
      <c r="K992" s="12" t="s">
        <v>2022</v>
      </c>
      <c r="L992" s="13" t="str">
        <f t="shared" si="31"/>
        <v>Regular Customer</v>
      </c>
    </row>
    <row r="993" spans="1:12" ht="15.75" customHeight="1" x14ac:dyDescent="0.3">
      <c r="A993" s="14">
        <v>45491</v>
      </c>
      <c r="B993" s="15" t="s">
        <v>256</v>
      </c>
      <c r="C993" s="15" t="s">
        <v>18</v>
      </c>
      <c r="D993" s="15" t="s">
        <v>16</v>
      </c>
      <c r="E993" s="16">
        <v>29.15</v>
      </c>
      <c r="F993" s="15" t="s">
        <v>11</v>
      </c>
      <c r="G993" s="15">
        <v>29.15</v>
      </c>
      <c r="H993" s="17">
        <f t="shared" si="30"/>
        <v>7</v>
      </c>
      <c r="I993" s="17">
        <f>YEAR(Sheet1!$A993)</f>
        <v>2024</v>
      </c>
      <c r="J993" s="17">
        <f>DAY(Sheet1!$A993)</f>
        <v>18</v>
      </c>
      <c r="K993" s="18" t="s">
        <v>2022</v>
      </c>
      <c r="L993" s="19" t="str">
        <f t="shared" si="31"/>
        <v>Regular Customer</v>
      </c>
    </row>
    <row r="994" spans="1:12" ht="15.75" customHeight="1" x14ac:dyDescent="0.3">
      <c r="A994" s="7">
        <v>45443</v>
      </c>
      <c r="B994" s="8" t="s">
        <v>661</v>
      </c>
      <c r="C994" s="8" t="s">
        <v>13</v>
      </c>
      <c r="D994" s="8" t="s">
        <v>16</v>
      </c>
      <c r="E994" s="9">
        <v>29.18</v>
      </c>
      <c r="F994" s="8" t="s">
        <v>11</v>
      </c>
      <c r="G994" s="8">
        <v>29.18</v>
      </c>
      <c r="H994" s="10">
        <f t="shared" si="30"/>
        <v>5</v>
      </c>
      <c r="I994" s="10">
        <f>YEAR(Sheet1!$A994)</f>
        <v>2024</v>
      </c>
      <c r="J994" s="10">
        <f>DAY(Sheet1!$A994)</f>
        <v>31</v>
      </c>
      <c r="K994" s="12" t="s">
        <v>2023</v>
      </c>
      <c r="L994" s="13" t="str">
        <f t="shared" si="31"/>
        <v>Regular Customer</v>
      </c>
    </row>
    <row r="995" spans="1:12" ht="15.75" customHeight="1" x14ac:dyDescent="0.3">
      <c r="A995" s="14">
        <v>45485</v>
      </c>
      <c r="B995" s="15" t="s">
        <v>1721</v>
      </c>
      <c r="C995" s="15" t="s">
        <v>13</v>
      </c>
      <c r="D995" s="15" t="s">
        <v>19</v>
      </c>
      <c r="E995" s="16">
        <v>14.59</v>
      </c>
      <c r="F995" s="15" t="s">
        <v>10</v>
      </c>
      <c r="G995" s="15">
        <v>29.18</v>
      </c>
      <c r="H995" s="17">
        <f t="shared" si="30"/>
        <v>7</v>
      </c>
      <c r="I995" s="17">
        <f>YEAR(Sheet1!$A995)</f>
        <v>2024</v>
      </c>
      <c r="J995" s="17">
        <f>DAY(Sheet1!$A995)</f>
        <v>12</v>
      </c>
      <c r="K995" s="18" t="s">
        <v>2023</v>
      </c>
      <c r="L995" s="19" t="str">
        <f t="shared" si="31"/>
        <v>Regular Customer</v>
      </c>
    </row>
    <row r="996" spans="1:12" ht="15.75" customHeight="1" x14ac:dyDescent="0.3">
      <c r="A996" s="7">
        <v>45693</v>
      </c>
      <c r="B996" s="8" t="s">
        <v>730</v>
      </c>
      <c r="C996" s="8" t="s">
        <v>24</v>
      </c>
      <c r="D996" s="8" t="s">
        <v>19</v>
      </c>
      <c r="E996" s="9">
        <v>14.59</v>
      </c>
      <c r="F996" s="8" t="s">
        <v>10</v>
      </c>
      <c r="G996" s="8">
        <v>29.18</v>
      </c>
      <c r="H996" s="10">
        <f t="shared" si="30"/>
        <v>2</v>
      </c>
      <c r="I996" s="10">
        <f>YEAR(Sheet1!$A996)</f>
        <v>2025</v>
      </c>
      <c r="J996" s="10">
        <f>DAY(Sheet1!$A996)</f>
        <v>5</v>
      </c>
      <c r="K996" s="12" t="s">
        <v>2023</v>
      </c>
      <c r="L996" s="13" t="str">
        <f t="shared" si="31"/>
        <v>Regular Customer</v>
      </c>
    </row>
    <row r="997" spans="1:12" ht="15.75" customHeight="1" x14ac:dyDescent="0.3">
      <c r="A997" s="14">
        <v>45499</v>
      </c>
      <c r="B997" s="15" t="s">
        <v>368</v>
      </c>
      <c r="C997" s="15" t="s">
        <v>13</v>
      </c>
      <c r="D997" s="15" t="s">
        <v>19</v>
      </c>
      <c r="E997" s="16">
        <v>29.19</v>
      </c>
      <c r="F997" s="15" t="s">
        <v>10</v>
      </c>
      <c r="G997" s="15">
        <v>29.19</v>
      </c>
      <c r="H997" s="17">
        <f t="shared" si="30"/>
        <v>7</v>
      </c>
      <c r="I997" s="17">
        <f>YEAR(Sheet1!$A997)</f>
        <v>2024</v>
      </c>
      <c r="J997" s="17">
        <f>DAY(Sheet1!$A997)</f>
        <v>26</v>
      </c>
      <c r="K997" s="18" t="s">
        <v>2023</v>
      </c>
      <c r="L997" s="19" t="str">
        <f t="shared" si="31"/>
        <v>Regular Customer</v>
      </c>
    </row>
    <row r="998" spans="1:12" ht="15.75" customHeight="1" x14ac:dyDescent="0.3">
      <c r="A998" s="7">
        <v>45626</v>
      </c>
      <c r="B998" s="8" t="s">
        <v>1868</v>
      </c>
      <c r="C998" s="8" t="s">
        <v>13</v>
      </c>
      <c r="D998" s="8" t="s">
        <v>19</v>
      </c>
      <c r="E998" s="9">
        <v>9.74</v>
      </c>
      <c r="F998" s="8" t="s">
        <v>10</v>
      </c>
      <c r="G998" s="8">
        <v>29.22</v>
      </c>
      <c r="H998" s="10">
        <f t="shared" si="30"/>
        <v>11</v>
      </c>
      <c r="I998" s="10">
        <f>YEAR(Sheet1!$A998)</f>
        <v>2024</v>
      </c>
      <c r="J998" s="10">
        <f>DAY(Sheet1!$A998)</f>
        <v>30</v>
      </c>
      <c r="K998" s="12" t="s">
        <v>2023</v>
      </c>
      <c r="L998" s="13" t="str">
        <f t="shared" si="31"/>
        <v>Regular Customer</v>
      </c>
    </row>
    <row r="999" spans="1:12" ht="15.75" customHeight="1" x14ac:dyDescent="0.3">
      <c r="A999" s="14">
        <v>45730</v>
      </c>
      <c r="B999" s="15" t="s">
        <v>1315</v>
      </c>
      <c r="C999" s="15" t="s">
        <v>8</v>
      </c>
      <c r="D999" s="15" t="s">
        <v>9</v>
      </c>
      <c r="E999" s="16">
        <v>29.22</v>
      </c>
      <c r="F999" s="15" t="s">
        <v>11</v>
      </c>
      <c r="G999" s="15">
        <v>29.22</v>
      </c>
      <c r="H999" s="17">
        <f t="shared" si="30"/>
        <v>3</v>
      </c>
      <c r="I999" s="17">
        <f>YEAR(Sheet1!$A999)</f>
        <v>2025</v>
      </c>
      <c r="J999" s="17">
        <f>DAY(Sheet1!$A999)</f>
        <v>14</v>
      </c>
      <c r="K999" s="18" t="s">
        <v>2022</v>
      </c>
      <c r="L999" s="19" t="str">
        <f t="shared" si="31"/>
        <v>Regular Customer</v>
      </c>
    </row>
    <row r="1000" spans="1:12" ht="15.75" customHeight="1" x14ac:dyDescent="0.3">
      <c r="A1000" s="7">
        <v>45660</v>
      </c>
      <c r="B1000" s="8" t="s">
        <v>38</v>
      </c>
      <c r="C1000" s="8" t="s">
        <v>24</v>
      </c>
      <c r="D1000" s="8" t="s">
        <v>19</v>
      </c>
      <c r="E1000" s="9">
        <v>9.75</v>
      </c>
      <c r="F1000" s="8" t="s">
        <v>11</v>
      </c>
      <c r="G1000" s="8">
        <v>29.25</v>
      </c>
      <c r="H1000" s="10">
        <f t="shared" si="30"/>
        <v>1</v>
      </c>
      <c r="I1000" s="10">
        <f>YEAR(Sheet1!$A1000)</f>
        <v>2025</v>
      </c>
      <c r="J1000" s="10">
        <f>DAY(Sheet1!$A1000)</f>
        <v>3</v>
      </c>
      <c r="K1000" s="12" t="s">
        <v>2022</v>
      </c>
      <c r="L1000" s="13" t="str">
        <f t="shared" si="31"/>
        <v>Regular Customer</v>
      </c>
    </row>
    <row r="1001" spans="1:12" ht="15.75" customHeight="1" x14ac:dyDescent="0.3">
      <c r="A1001" s="14">
        <v>45620</v>
      </c>
      <c r="B1001" s="15" t="s">
        <v>1133</v>
      </c>
      <c r="C1001" s="15" t="s">
        <v>24</v>
      </c>
      <c r="D1001" s="15" t="s">
        <v>14</v>
      </c>
      <c r="E1001" s="16">
        <v>29.27</v>
      </c>
      <c r="F1001" s="15" t="s">
        <v>11</v>
      </c>
      <c r="G1001" s="15">
        <v>29.27</v>
      </c>
      <c r="H1001" s="17">
        <f t="shared" si="30"/>
        <v>11</v>
      </c>
      <c r="I1001" s="17">
        <f>YEAR(Sheet1!$A1001)</f>
        <v>2024</v>
      </c>
      <c r="J1001" s="17">
        <f>DAY(Sheet1!$A1001)</f>
        <v>24</v>
      </c>
      <c r="K1001" s="18" t="s">
        <v>2022</v>
      </c>
      <c r="L1001" s="19" t="str">
        <f t="shared" si="31"/>
        <v>Regular Customer</v>
      </c>
    </row>
    <row r="1002" spans="1:12" ht="15.75" customHeight="1" x14ac:dyDescent="0.3">
      <c r="A1002" s="7">
        <v>45544</v>
      </c>
      <c r="B1002" s="8" t="s">
        <v>436</v>
      </c>
      <c r="C1002" s="8" t="s">
        <v>8</v>
      </c>
      <c r="D1002" s="8" t="s">
        <v>16</v>
      </c>
      <c r="E1002" s="9">
        <v>29.28</v>
      </c>
      <c r="F1002" s="8" t="s">
        <v>11</v>
      </c>
      <c r="G1002" s="8">
        <v>29.28</v>
      </c>
      <c r="H1002" s="10">
        <f t="shared" si="30"/>
        <v>9</v>
      </c>
      <c r="I1002" s="10">
        <f>YEAR(Sheet1!$A1002)</f>
        <v>2024</v>
      </c>
      <c r="J1002" s="10">
        <f>DAY(Sheet1!$A1002)</f>
        <v>9</v>
      </c>
      <c r="K1002" s="12" t="s">
        <v>2022</v>
      </c>
      <c r="L1002" s="13" t="str">
        <f t="shared" si="31"/>
        <v>Regular Customer</v>
      </c>
    </row>
    <row r="1003" spans="1:12" ht="15.75" customHeight="1" x14ac:dyDescent="0.3">
      <c r="A1003" s="14">
        <v>45458</v>
      </c>
      <c r="B1003" s="15" t="s">
        <v>1082</v>
      </c>
      <c r="C1003" s="15" t="s">
        <v>24</v>
      </c>
      <c r="D1003" s="15" t="s">
        <v>19</v>
      </c>
      <c r="E1003" s="16">
        <v>29.3</v>
      </c>
      <c r="F1003" s="15" t="s">
        <v>11</v>
      </c>
      <c r="G1003" s="15">
        <v>29.3</v>
      </c>
      <c r="H1003" s="17">
        <f t="shared" si="30"/>
        <v>6</v>
      </c>
      <c r="I1003" s="17">
        <f>YEAR(Sheet1!$A1003)</f>
        <v>2024</v>
      </c>
      <c r="J1003" s="17">
        <f>DAY(Sheet1!$A1003)</f>
        <v>15</v>
      </c>
      <c r="K1003" s="18" t="s">
        <v>2023</v>
      </c>
      <c r="L1003" s="19" t="str">
        <f t="shared" si="31"/>
        <v>Regular Customer</v>
      </c>
    </row>
    <row r="1004" spans="1:12" ht="15.75" customHeight="1" x14ac:dyDescent="0.3">
      <c r="A1004" s="7">
        <v>45609</v>
      </c>
      <c r="B1004" s="8" t="s">
        <v>1438</v>
      </c>
      <c r="C1004" s="8" t="s">
        <v>18</v>
      </c>
      <c r="D1004" s="8" t="s">
        <v>19</v>
      </c>
      <c r="E1004" s="9">
        <v>14.66</v>
      </c>
      <c r="F1004" s="8" t="s">
        <v>11</v>
      </c>
      <c r="G1004" s="8">
        <v>29.32</v>
      </c>
      <c r="H1004" s="10">
        <f t="shared" si="30"/>
        <v>11</v>
      </c>
      <c r="I1004" s="10">
        <f>YEAR(Sheet1!$A1004)</f>
        <v>2024</v>
      </c>
      <c r="J1004" s="10">
        <f>DAY(Sheet1!$A1004)</f>
        <v>13</v>
      </c>
      <c r="K1004" s="12" t="s">
        <v>2022</v>
      </c>
      <c r="L1004" s="13" t="str">
        <f t="shared" si="31"/>
        <v>Regular Customer</v>
      </c>
    </row>
    <row r="1005" spans="1:12" ht="15.75" customHeight="1" x14ac:dyDescent="0.3">
      <c r="A1005" s="14">
        <v>45626</v>
      </c>
      <c r="B1005" s="15" t="s">
        <v>1952</v>
      </c>
      <c r="C1005" s="15" t="s">
        <v>8</v>
      </c>
      <c r="D1005" s="15" t="s">
        <v>9</v>
      </c>
      <c r="E1005" s="16">
        <v>29.4</v>
      </c>
      <c r="F1005" s="15" t="s">
        <v>11</v>
      </c>
      <c r="G1005" s="15">
        <v>29.4</v>
      </c>
      <c r="H1005" s="17">
        <f t="shared" si="30"/>
        <v>11</v>
      </c>
      <c r="I1005" s="17">
        <f>YEAR(Sheet1!$A1005)</f>
        <v>2024</v>
      </c>
      <c r="J1005" s="17">
        <f>DAY(Sheet1!$A1005)</f>
        <v>30</v>
      </c>
      <c r="K1005" s="18" t="s">
        <v>2023</v>
      </c>
      <c r="L1005" s="19" t="str">
        <f t="shared" si="31"/>
        <v>Regular Customer</v>
      </c>
    </row>
    <row r="1006" spans="1:12" ht="15.75" customHeight="1" x14ac:dyDescent="0.3">
      <c r="A1006" s="7">
        <v>45469</v>
      </c>
      <c r="B1006" s="8" t="s">
        <v>782</v>
      </c>
      <c r="C1006" s="8" t="s">
        <v>24</v>
      </c>
      <c r="D1006" s="8" t="s">
        <v>9</v>
      </c>
      <c r="E1006" s="9">
        <v>29.45</v>
      </c>
      <c r="F1006" s="8" t="s">
        <v>10</v>
      </c>
      <c r="G1006" s="8">
        <v>29.45</v>
      </c>
      <c r="H1006" s="10">
        <f t="shared" si="30"/>
        <v>6</v>
      </c>
      <c r="I1006" s="10">
        <f>YEAR(Sheet1!$A1006)</f>
        <v>2024</v>
      </c>
      <c r="J1006" s="10">
        <f>DAY(Sheet1!$A1006)</f>
        <v>26</v>
      </c>
      <c r="K1006" s="12" t="s">
        <v>2023</v>
      </c>
      <c r="L1006" s="13" t="str">
        <f t="shared" si="31"/>
        <v>Regular Customer</v>
      </c>
    </row>
    <row r="1007" spans="1:12" ht="15.75" customHeight="1" x14ac:dyDescent="0.3">
      <c r="A1007" s="14">
        <v>45640</v>
      </c>
      <c r="B1007" s="15" t="s">
        <v>1224</v>
      </c>
      <c r="C1007" s="15" t="s">
        <v>13</v>
      </c>
      <c r="D1007" s="15" t="s">
        <v>19</v>
      </c>
      <c r="E1007" s="16">
        <v>29.45</v>
      </c>
      <c r="F1007" s="15" t="s">
        <v>10</v>
      </c>
      <c r="G1007" s="15">
        <v>29.45</v>
      </c>
      <c r="H1007" s="17">
        <f t="shared" si="30"/>
        <v>12</v>
      </c>
      <c r="I1007" s="17">
        <f>YEAR(Sheet1!$A1007)</f>
        <v>2024</v>
      </c>
      <c r="J1007" s="17">
        <f>DAY(Sheet1!$A1007)</f>
        <v>14</v>
      </c>
      <c r="K1007" s="18" t="s">
        <v>2023</v>
      </c>
      <c r="L1007" s="19" t="str">
        <f t="shared" si="31"/>
        <v>Regular Customer</v>
      </c>
    </row>
    <row r="1008" spans="1:12" ht="15.75" customHeight="1" x14ac:dyDescent="0.3">
      <c r="A1008" s="7">
        <v>45417</v>
      </c>
      <c r="B1008" s="8" t="s">
        <v>1832</v>
      </c>
      <c r="C1008" s="8" t="s">
        <v>18</v>
      </c>
      <c r="D1008" s="8" t="s">
        <v>16</v>
      </c>
      <c r="E1008" s="9">
        <v>14.73</v>
      </c>
      <c r="F1008" s="8" t="s">
        <v>11</v>
      </c>
      <c r="G1008" s="8">
        <v>29.46</v>
      </c>
      <c r="H1008" s="10">
        <f t="shared" si="30"/>
        <v>5</v>
      </c>
      <c r="I1008" s="10">
        <f>YEAR(Sheet1!$A1008)</f>
        <v>2024</v>
      </c>
      <c r="J1008" s="10">
        <f>DAY(Sheet1!$A1008)</f>
        <v>5</v>
      </c>
      <c r="K1008" s="12" t="s">
        <v>2022</v>
      </c>
      <c r="L1008" s="13" t="str">
        <f t="shared" si="31"/>
        <v>Regular Customer</v>
      </c>
    </row>
    <row r="1009" spans="1:12" ht="15.75" customHeight="1" x14ac:dyDescent="0.3">
      <c r="A1009" s="14">
        <v>45519</v>
      </c>
      <c r="B1009" s="15" t="s">
        <v>484</v>
      </c>
      <c r="C1009" s="15" t="s">
        <v>8</v>
      </c>
      <c r="D1009" s="15" t="s">
        <v>9</v>
      </c>
      <c r="E1009" s="16">
        <v>29.56</v>
      </c>
      <c r="F1009" s="15" t="s">
        <v>10</v>
      </c>
      <c r="G1009" s="15">
        <v>29.56</v>
      </c>
      <c r="H1009" s="17">
        <f t="shared" si="30"/>
        <v>8</v>
      </c>
      <c r="I1009" s="17">
        <f>YEAR(Sheet1!$A1009)</f>
        <v>2024</v>
      </c>
      <c r="J1009" s="17">
        <f>DAY(Sheet1!$A1009)</f>
        <v>15</v>
      </c>
      <c r="K1009" s="18" t="s">
        <v>2023</v>
      </c>
      <c r="L1009" s="19" t="str">
        <f t="shared" si="31"/>
        <v>Regular Customer</v>
      </c>
    </row>
    <row r="1010" spans="1:12" ht="15.75" customHeight="1" x14ac:dyDescent="0.3">
      <c r="A1010" s="7">
        <v>45538</v>
      </c>
      <c r="B1010" s="8" t="s">
        <v>25</v>
      </c>
      <c r="C1010" s="8" t="s">
        <v>13</v>
      </c>
      <c r="D1010" s="8" t="s">
        <v>14</v>
      </c>
      <c r="E1010" s="9">
        <v>14.78</v>
      </c>
      <c r="F1010" s="8" t="s">
        <v>10</v>
      </c>
      <c r="G1010" s="8">
        <v>29.56</v>
      </c>
      <c r="H1010" s="10">
        <f t="shared" si="30"/>
        <v>9</v>
      </c>
      <c r="I1010" s="10">
        <f>YEAR(Sheet1!$A1010)</f>
        <v>2024</v>
      </c>
      <c r="J1010" s="10">
        <f>DAY(Sheet1!$A1010)</f>
        <v>3</v>
      </c>
      <c r="K1010" s="12" t="s">
        <v>2022</v>
      </c>
      <c r="L1010" s="13" t="str">
        <f t="shared" si="31"/>
        <v>Regular Customer</v>
      </c>
    </row>
    <row r="1011" spans="1:12" ht="15.75" customHeight="1" x14ac:dyDescent="0.3">
      <c r="A1011" s="14">
        <v>45731</v>
      </c>
      <c r="B1011" s="15" t="s">
        <v>646</v>
      </c>
      <c r="C1011" s="15" t="s">
        <v>18</v>
      </c>
      <c r="D1011" s="15" t="s">
        <v>14</v>
      </c>
      <c r="E1011" s="16">
        <v>14.79</v>
      </c>
      <c r="F1011" s="15" t="s">
        <v>10</v>
      </c>
      <c r="G1011" s="15">
        <v>29.58</v>
      </c>
      <c r="H1011" s="17">
        <f t="shared" si="30"/>
        <v>3</v>
      </c>
      <c r="I1011" s="17">
        <f>YEAR(Sheet1!$A1011)</f>
        <v>2025</v>
      </c>
      <c r="J1011" s="17">
        <f>DAY(Sheet1!$A1011)</f>
        <v>15</v>
      </c>
      <c r="K1011" s="18" t="s">
        <v>2022</v>
      </c>
      <c r="L1011" s="19" t="str">
        <f t="shared" si="31"/>
        <v>Regular Customer</v>
      </c>
    </row>
    <row r="1012" spans="1:12" ht="15.75" customHeight="1" x14ac:dyDescent="0.3">
      <c r="A1012" s="7">
        <v>45732</v>
      </c>
      <c r="B1012" s="8" t="s">
        <v>208</v>
      </c>
      <c r="C1012" s="8" t="s">
        <v>18</v>
      </c>
      <c r="D1012" s="8" t="s">
        <v>19</v>
      </c>
      <c r="E1012" s="9">
        <v>29.59</v>
      </c>
      <c r="F1012" s="8" t="s">
        <v>11</v>
      </c>
      <c r="G1012" s="8">
        <v>29.59</v>
      </c>
      <c r="H1012" s="10">
        <f t="shared" si="30"/>
        <v>3</v>
      </c>
      <c r="I1012" s="10">
        <f>YEAR(Sheet1!$A1012)</f>
        <v>2025</v>
      </c>
      <c r="J1012" s="10">
        <f>DAY(Sheet1!$A1012)</f>
        <v>16</v>
      </c>
      <c r="K1012" s="12" t="s">
        <v>2022</v>
      </c>
      <c r="L1012" s="13" t="str">
        <f t="shared" si="31"/>
        <v>Regular Customer</v>
      </c>
    </row>
    <row r="1013" spans="1:12" ht="15.75" customHeight="1" x14ac:dyDescent="0.3">
      <c r="A1013" s="14">
        <v>45735</v>
      </c>
      <c r="B1013" s="15" t="s">
        <v>1137</v>
      </c>
      <c r="C1013" s="15" t="s">
        <v>13</v>
      </c>
      <c r="D1013" s="15" t="s">
        <v>9</v>
      </c>
      <c r="E1013" s="16">
        <v>29.59</v>
      </c>
      <c r="F1013" s="15" t="s">
        <v>11</v>
      </c>
      <c r="G1013" s="15">
        <v>29.59</v>
      </c>
      <c r="H1013" s="17">
        <f t="shared" si="30"/>
        <v>3</v>
      </c>
      <c r="I1013" s="17">
        <f>YEAR(Sheet1!$A1013)</f>
        <v>2025</v>
      </c>
      <c r="J1013" s="17">
        <f>DAY(Sheet1!$A1013)</f>
        <v>19</v>
      </c>
      <c r="K1013" s="18" t="s">
        <v>2023</v>
      </c>
      <c r="L1013" s="19" t="str">
        <f t="shared" si="31"/>
        <v>Regular Customer</v>
      </c>
    </row>
    <row r="1014" spans="1:12" ht="15.75" customHeight="1" x14ac:dyDescent="0.3">
      <c r="A1014" s="7">
        <v>45496</v>
      </c>
      <c r="B1014" s="8" t="s">
        <v>2005</v>
      </c>
      <c r="C1014" s="8" t="s">
        <v>8</v>
      </c>
      <c r="D1014" s="8" t="s">
        <v>19</v>
      </c>
      <c r="E1014" s="9">
        <v>29.6</v>
      </c>
      <c r="F1014" s="8" t="s">
        <v>11</v>
      </c>
      <c r="G1014" s="8">
        <v>29.6</v>
      </c>
      <c r="H1014" s="10">
        <f t="shared" si="30"/>
        <v>7</v>
      </c>
      <c r="I1014" s="10">
        <f>YEAR(Sheet1!$A1014)</f>
        <v>2024</v>
      </c>
      <c r="J1014" s="10">
        <f>DAY(Sheet1!$A1014)</f>
        <v>23</v>
      </c>
      <c r="K1014" s="12" t="s">
        <v>2022</v>
      </c>
      <c r="L1014" s="13" t="str">
        <f t="shared" si="31"/>
        <v>Regular Customer</v>
      </c>
    </row>
    <row r="1015" spans="1:12" ht="15.75" customHeight="1" x14ac:dyDescent="0.3">
      <c r="A1015" s="14">
        <v>45675</v>
      </c>
      <c r="B1015" s="15" t="s">
        <v>316</v>
      </c>
      <c r="C1015" s="15" t="s">
        <v>13</v>
      </c>
      <c r="D1015" s="15" t="s">
        <v>16</v>
      </c>
      <c r="E1015" s="16">
        <v>29.61</v>
      </c>
      <c r="F1015" s="15" t="s">
        <v>11</v>
      </c>
      <c r="G1015" s="15">
        <v>29.61</v>
      </c>
      <c r="H1015" s="17">
        <f t="shared" si="30"/>
        <v>1</v>
      </c>
      <c r="I1015" s="17">
        <f>YEAR(Sheet1!$A1015)</f>
        <v>2025</v>
      </c>
      <c r="J1015" s="17">
        <f>DAY(Sheet1!$A1015)</f>
        <v>18</v>
      </c>
      <c r="K1015" s="18" t="s">
        <v>2023</v>
      </c>
      <c r="L1015" s="19" t="str">
        <f t="shared" si="31"/>
        <v>Regular Customer</v>
      </c>
    </row>
    <row r="1016" spans="1:12" ht="15.75" customHeight="1" x14ac:dyDescent="0.3">
      <c r="A1016" s="7">
        <v>45607</v>
      </c>
      <c r="B1016" s="8" t="s">
        <v>1565</v>
      </c>
      <c r="C1016" s="8" t="s">
        <v>18</v>
      </c>
      <c r="D1016" s="8" t="s">
        <v>16</v>
      </c>
      <c r="E1016" s="9">
        <v>14.81</v>
      </c>
      <c r="F1016" s="8" t="s">
        <v>10</v>
      </c>
      <c r="G1016" s="8">
        <v>29.62</v>
      </c>
      <c r="H1016" s="10">
        <f t="shared" si="30"/>
        <v>11</v>
      </c>
      <c r="I1016" s="10">
        <f>YEAR(Sheet1!$A1016)</f>
        <v>2024</v>
      </c>
      <c r="J1016" s="10">
        <f>DAY(Sheet1!$A1016)</f>
        <v>11</v>
      </c>
      <c r="K1016" s="12" t="s">
        <v>2023</v>
      </c>
      <c r="L1016" s="13" t="str">
        <f t="shared" si="31"/>
        <v>Regular Customer</v>
      </c>
    </row>
    <row r="1017" spans="1:12" ht="15.75" customHeight="1" x14ac:dyDescent="0.3">
      <c r="A1017" s="14">
        <v>45629</v>
      </c>
      <c r="B1017" s="15" t="s">
        <v>1572</v>
      </c>
      <c r="C1017" s="15" t="s">
        <v>13</v>
      </c>
      <c r="D1017" s="15" t="s">
        <v>16</v>
      </c>
      <c r="E1017" s="16">
        <v>9.89</v>
      </c>
      <c r="F1017" s="15" t="s">
        <v>11</v>
      </c>
      <c r="G1017" s="15">
        <v>29.67</v>
      </c>
      <c r="H1017" s="17">
        <f t="shared" si="30"/>
        <v>12</v>
      </c>
      <c r="I1017" s="17">
        <f>YEAR(Sheet1!$A1017)</f>
        <v>2024</v>
      </c>
      <c r="J1017" s="17">
        <f>DAY(Sheet1!$A1017)</f>
        <v>3</v>
      </c>
      <c r="K1017" s="18" t="s">
        <v>2023</v>
      </c>
      <c r="L1017" s="19" t="str">
        <f t="shared" si="31"/>
        <v>Regular Customer</v>
      </c>
    </row>
    <row r="1018" spans="1:12" ht="15.75" customHeight="1" x14ac:dyDescent="0.3">
      <c r="A1018" s="7">
        <v>45600</v>
      </c>
      <c r="B1018" s="8" t="s">
        <v>1989</v>
      </c>
      <c r="C1018" s="8" t="s">
        <v>24</v>
      </c>
      <c r="D1018" s="8" t="s">
        <v>14</v>
      </c>
      <c r="E1018" s="9">
        <v>29.68</v>
      </c>
      <c r="F1018" s="8" t="s">
        <v>10</v>
      </c>
      <c r="G1018" s="8">
        <v>29.68</v>
      </c>
      <c r="H1018" s="10">
        <f t="shared" si="30"/>
        <v>11</v>
      </c>
      <c r="I1018" s="10">
        <f>YEAR(Sheet1!$A1018)</f>
        <v>2024</v>
      </c>
      <c r="J1018" s="10">
        <f>DAY(Sheet1!$A1018)</f>
        <v>4</v>
      </c>
      <c r="K1018" s="12" t="s">
        <v>2022</v>
      </c>
      <c r="L1018" s="13" t="str">
        <f t="shared" si="31"/>
        <v>Regular Customer</v>
      </c>
    </row>
    <row r="1019" spans="1:12" ht="15.75" customHeight="1" x14ac:dyDescent="0.3">
      <c r="A1019" s="14">
        <v>45766</v>
      </c>
      <c r="B1019" s="15" t="s">
        <v>489</v>
      </c>
      <c r="C1019" s="15" t="s">
        <v>8</v>
      </c>
      <c r="D1019" s="15" t="s">
        <v>14</v>
      </c>
      <c r="E1019" s="16">
        <v>29.7</v>
      </c>
      <c r="F1019" s="15" t="s">
        <v>11</v>
      </c>
      <c r="G1019" s="15">
        <v>29.7</v>
      </c>
      <c r="H1019" s="17">
        <f t="shared" si="30"/>
        <v>4</v>
      </c>
      <c r="I1019" s="17">
        <f>YEAR(Sheet1!$A1019)</f>
        <v>2025</v>
      </c>
      <c r="J1019" s="17">
        <f>DAY(Sheet1!$A1019)</f>
        <v>19</v>
      </c>
      <c r="K1019" s="18" t="s">
        <v>2022</v>
      </c>
      <c r="L1019" s="19" t="str">
        <f t="shared" si="31"/>
        <v>Regular Customer</v>
      </c>
    </row>
    <row r="1020" spans="1:12" ht="15.75" customHeight="1" x14ac:dyDescent="0.3">
      <c r="A1020" s="7">
        <v>45429</v>
      </c>
      <c r="B1020" s="8" t="s">
        <v>1344</v>
      </c>
      <c r="C1020" s="8" t="s">
        <v>24</v>
      </c>
      <c r="D1020" s="8" t="s">
        <v>14</v>
      </c>
      <c r="E1020" s="9">
        <v>29.71</v>
      </c>
      <c r="F1020" s="8" t="s">
        <v>10</v>
      </c>
      <c r="G1020" s="8">
        <v>29.71</v>
      </c>
      <c r="H1020" s="10">
        <f t="shared" si="30"/>
        <v>5</v>
      </c>
      <c r="I1020" s="10">
        <f>YEAR(Sheet1!$A1020)</f>
        <v>2024</v>
      </c>
      <c r="J1020" s="10">
        <f>DAY(Sheet1!$A1020)</f>
        <v>17</v>
      </c>
      <c r="K1020" s="12" t="s">
        <v>2022</v>
      </c>
      <c r="L1020" s="13" t="str">
        <f t="shared" si="31"/>
        <v>Regular Customer</v>
      </c>
    </row>
    <row r="1021" spans="1:12" ht="15.75" customHeight="1" x14ac:dyDescent="0.3">
      <c r="A1021" s="14">
        <v>45637</v>
      </c>
      <c r="B1021" s="15" t="s">
        <v>1889</v>
      </c>
      <c r="C1021" s="15" t="s">
        <v>18</v>
      </c>
      <c r="D1021" s="15" t="s">
        <v>9</v>
      </c>
      <c r="E1021" s="16">
        <v>14.86</v>
      </c>
      <c r="F1021" s="15" t="s">
        <v>11</v>
      </c>
      <c r="G1021" s="15">
        <v>29.72</v>
      </c>
      <c r="H1021" s="17">
        <f t="shared" si="30"/>
        <v>12</v>
      </c>
      <c r="I1021" s="17">
        <f>YEAR(Sheet1!$A1021)</f>
        <v>2024</v>
      </c>
      <c r="J1021" s="17">
        <f>DAY(Sheet1!$A1021)</f>
        <v>11</v>
      </c>
      <c r="K1021" s="18" t="s">
        <v>2022</v>
      </c>
      <c r="L1021" s="19" t="str">
        <f t="shared" si="31"/>
        <v>Regular Customer</v>
      </c>
    </row>
    <row r="1022" spans="1:12" ht="15.75" customHeight="1" x14ac:dyDescent="0.3">
      <c r="A1022" s="7">
        <v>45490</v>
      </c>
      <c r="B1022" s="8" t="s">
        <v>537</v>
      </c>
      <c r="C1022" s="8" t="s">
        <v>8</v>
      </c>
      <c r="D1022" s="8" t="s">
        <v>14</v>
      </c>
      <c r="E1022" s="9">
        <v>9.91</v>
      </c>
      <c r="F1022" s="8" t="s">
        <v>11</v>
      </c>
      <c r="G1022" s="8">
        <v>29.73</v>
      </c>
      <c r="H1022" s="10">
        <f t="shared" si="30"/>
        <v>7</v>
      </c>
      <c r="I1022" s="10">
        <f>YEAR(Sheet1!$A1022)</f>
        <v>2024</v>
      </c>
      <c r="J1022" s="10">
        <f>DAY(Sheet1!$A1022)</f>
        <v>17</v>
      </c>
      <c r="K1022" s="12" t="s">
        <v>2022</v>
      </c>
      <c r="L1022" s="13" t="str">
        <f t="shared" si="31"/>
        <v>Regular Customer</v>
      </c>
    </row>
    <row r="1023" spans="1:12" ht="15.75" customHeight="1" x14ac:dyDescent="0.3">
      <c r="A1023" s="14">
        <v>45443</v>
      </c>
      <c r="B1023" s="15" t="s">
        <v>1394</v>
      </c>
      <c r="C1023" s="15" t="s">
        <v>13</v>
      </c>
      <c r="D1023" s="15" t="s">
        <v>9</v>
      </c>
      <c r="E1023" s="16">
        <v>29.75</v>
      </c>
      <c r="F1023" s="15" t="s">
        <v>11</v>
      </c>
      <c r="G1023" s="15">
        <v>29.75</v>
      </c>
      <c r="H1023" s="17">
        <f t="shared" si="30"/>
        <v>5</v>
      </c>
      <c r="I1023" s="17">
        <f>YEAR(Sheet1!$A1023)</f>
        <v>2024</v>
      </c>
      <c r="J1023" s="17">
        <f>DAY(Sheet1!$A1023)</f>
        <v>31</v>
      </c>
      <c r="K1023" s="18" t="s">
        <v>2023</v>
      </c>
      <c r="L1023" s="19" t="str">
        <f t="shared" si="31"/>
        <v>Regular Customer</v>
      </c>
    </row>
    <row r="1024" spans="1:12" ht="15.75" customHeight="1" x14ac:dyDescent="0.3">
      <c r="A1024" s="7">
        <v>45774</v>
      </c>
      <c r="B1024" s="8" t="s">
        <v>567</v>
      </c>
      <c r="C1024" s="8" t="s">
        <v>18</v>
      </c>
      <c r="D1024" s="8" t="s">
        <v>14</v>
      </c>
      <c r="E1024" s="9">
        <v>29.76</v>
      </c>
      <c r="F1024" s="8" t="s">
        <v>10</v>
      </c>
      <c r="G1024" s="8">
        <v>29.76</v>
      </c>
      <c r="H1024" s="10">
        <f t="shared" si="30"/>
        <v>4</v>
      </c>
      <c r="I1024" s="10">
        <f>YEAR(Sheet1!$A1024)</f>
        <v>2025</v>
      </c>
      <c r="J1024" s="10">
        <f>DAY(Sheet1!$A1024)</f>
        <v>27</v>
      </c>
      <c r="K1024" s="12" t="s">
        <v>2023</v>
      </c>
      <c r="L1024" s="13" t="str">
        <f t="shared" si="31"/>
        <v>Regular Customer</v>
      </c>
    </row>
    <row r="1025" spans="1:12" ht="15.75" customHeight="1" x14ac:dyDescent="0.3">
      <c r="A1025" s="14">
        <v>45441</v>
      </c>
      <c r="B1025" s="15" t="s">
        <v>820</v>
      </c>
      <c r="C1025" s="15" t="s">
        <v>13</v>
      </c>
      <c r="D1025" s="15" t="s">
        <v>9</v>
      </c>
      <c r="E1025" s="16">
        <v>14.9</v>
      </c>
      <c r="F1025" s="15" t="s">
        <v>10</v>
      </c>
      <c r="G1025" s="15">
        <v>29.8</v>
      </c>
      <c r="H1025" s="17">
        <f t="shared" si="30"/>
        <v>5</v>
      </c>
      <c r="I1025" s="17">
        <f>YEAR(Sheet1!$A1025)</f>
        <v>2024</v>
      </c>
      <c r="J1025" s="17">
        <f>DAY(Sheet1!$A1025)</f>
        <v>29</v>
      </c>
      <c r="K1025" s="18" t="s">
        <v>2022</v>
      </c>
      <c r="L1025" s="19" t="str">
        <f t="shared" si="31"/>
        <v>Regular Customer</v>
      </c>
    </row>
    <row r="1026" spans="1:12" ht="15.75" customHeight="1" x14ac:dyDescent="0.3">
      <c r="A1026" s="7">
        <v>45686</v>
      </c>
      <c r="B1026" s="8" t="s">
        <v>1256</v>
      </c>
      <c r="C1026" s="8" t="s">
        <v>24</v>
      </c>
      <c r="D1026" s="8" t="s">
        <v>14</v>
      </c>
      <c r="E1026" s="9">
        <v>29.8</v>
      </c>
      <c r="F1026" s="8" t="s">
        <v>11</v>
      </c>
      <c r="G1026" s="8">
        <v>29.8</v>
      </c>
      <c r="H1026" s="10">
        <f t="shared" ref="H1026:H1089" si="32">MONTH(A1026)</f>
        <v>1</v>
      </c>
      <c r="I1026" s="10">
        <f>YEAR(Sheet1!$A1026)</f>
        <v>2025</v>
      </c>
      <c r="J1026" s="10">
        <f>DAY(Sheet1!$A1026)</f>
        <v>29</v>
      </c>
      <c r="K1026" s="12" t="s">
        <v>2022</v>
      </c>
      <c r="L1026" s="13" t="str">
        <f t="shared" ref="L1026:L1089" si="33">IF(G1026&gt;50,"Premium Customer","Regular Customer")</f>
        <v>Regular Customer</v>
      </c>
    </row>
    <row r="1027" spans="1:12" ht="15.75" customHeight="1" x14ac:dyDescent="0.3">
      <c r="A1027" s="14">
        <v>45675</v>
      </c>
      <c r="B1027" s="15" t="s">
        <v>1539</v>
      </c>
      <c r="C1027" s="15" t="s">
        <v>8</v>
      </c>
      <c r="D1027" s="15" t="s">
        <v>9</v>
      </c>
      <c r="E1027" s="16">
        <v>14.92</v>
      </c>
      <c r="F1027" s="15" t="s">
        <v>10</v>
      </c>
      <c r="G1027" s="15">
        <v>29.84</v>
      </c>
      <c r="H1027" s="17">
        <f t="shared" si="32"/>
        <v>1</v>
      </c>
      <c r="I1027" s="17">
        <f>YEAR(Sheet1!$A1027)</f>
        <v>2025</v>
      </c>
      <c r="J1027" s="17">
        <f>DAY(Sheet1!$A1027)</f>
        <v>18</v>
      </c>
      <c r="K1027" s="18" t="s">
        <v>2022</v>
      </c>
      <c r="L1027" s="19" t="str">
        <f t="shared" si="33"/>
        <v>Regular Customer</v>
      </c>
    </row>
    <row r="1028" spans="1:12" ht="15.75" customHeight="1" x14ac:dyDescent="0.3">
      <c r="A1028" s="7">
        <v>45500</v>
      </c>
      <c r="B1028" s="8" t="s">
        <v>1286</v>
      </c>
      <c r="C1028" s="8" t="s">
        <v>13</v>
      </c>
      <c r="D1028" s="8" t="s">
        <v>9</v>
      </c>
      <c r="E1028" s="9">
        <v>29.88</v>
      </c>
      <c r="F1028" s="8" t="s">
        <v>10</v>
      </c>
      <c r="G1028" s="8">
        <v>29.88</v>
      </c>
      <c r="H1028" s="10">
        <f t="shared" si="32"/>
        <v>7</v>
      </c>
      <c r="I1028" s="10">
        <f>YEAR(Sheet1!$A1028)</f>
        <v>2024</v>
      </c>
      <c r="J1028" s="10">
        <f>DAY(Sheet1!$A1028)</f>
        <v>27</v>
      </c>
      <c r="K1028" s="12" t="s">
        <v>2022</v>
      </c>
      <c r="L1028" s="13" t="str">
        <f t="shared" si="33"/>
        <v>Regular Customer</v>
      </c>
    </row>
    <row r="1029" spans="1:12" ht="15.75" customHeight="1" x14ac:dyDescent="0.3">
      <c r="A1029" s="14">
        <v>45445</v>
      </c>
      <c r="B1029" s="15" t="s">
        <v>1293</v>
      </c>
      <c r="C1029" s="15" t="s">
        <v>18</v>
      </c>
      <c r="D1029" s="15" t="s">
        <v>19</v>
      </c>
      <c r="E1029" s="16">
        <v>29.89</v>
      </c>
      <c r="F1029" s="15" t="s">
        <v>11</v>
      </c>
      <c r="G1029" s="15">
        <v>29.89</v>
      </c>
      <c r="H1029" s="17">
        <f t="shared" si="32"/>
        <v>6</v>
      </c>
      <c r="I1029" s="17">
        <f>YEAR(Sheet1!$A1029)</f>
        <v>2024</v>
      </c>
      <c r="J1029" s="17">
        <f>DAY(Sheet1!$A1029)</f>
        <v>2</v>
      </c>
      <c r="K1029" s="18" t="s">
        <v>2023</v>
      </c>
      <c r="L1029" s="19" t="str">
        <f t="shared" si="33"/>
        <v>Regular Customer</v>
      </c>
    </row>
    <row r="1030" spans="1:12" ht="15.75" customHeight="1" x14ac:dyDescent="0.3">
      <c r="A1030" s="7">
        <v>45584</v>
      </c>
      <c r="B1030" s="8" t="s">
        <v>545</v>
      </c>
      <c r="C1030" s="8" t="s">
        <v>13</v>
      </c>
      <c r="D1030" s="8" t="s">
        <v>16</v>
      </c>
      <c r="E1030" s="9">
        <v>29.93</v>
      </c>
      <c r="F1030" s="8" t="s">
        <v>11</v>
      </c>
      <c r="G1030" s="8">
        <v>29.93</v>
      </c>
      <c r="H1030" s="10">
        <f t="shared" si="32"/>
        <v>10</v>
      </c>
      <c r="I1030" s="10">
        <f>YEAR(Sheet1!$A1030)</f>
        <v>2024</v>
      </c>
      <c r="J1030" s="10">
        <f>DAY(Sheet1!$A1030)</f>
        <v>19</v>
      </c>
      <c r="K1030" s="12" t="s">
        <v>2022</v>
      </c>
      <c r="L1030" s="13" t="str">
        <f t="shared" si="33"/>
        <v>Regular Customer</v>
      </c>
    </row>
    <row r="1031" spans="1:12" ht="15.75" customHeight="1" x14ac:dyDescent="0.3">
      <c r="A1031" s="14">
        <v>45416</v>
      </c>
      <c r="B1031" s="15" t="s">
        <v>908</v>
      </c>
      <c r="C1031" s="15" t="s">
        <v>24</v>
      </c>
      <c r="D1031" s="15" t="s">
        <v>9</v>
      </c>
      <c r="E1031" s="16">
        <v>29.96</v>
      </c>
      <c r="F1031" s="15" t="s">
        <v>11</v>
      </c>
      <c r="G1031" s="15">
        <v>29.96</v>
      </c>
      <c r="H1031" s="17">
        <f t="shared" si="32"/>
        <v>5</v>
      </c>
      <c r="I1031" s="17">
        <f>YEAR(Sheet1!$A1031)</f>
        <v>2024</v>
      </c>
      <c r="J1031" s="17">
        <f>DAY(Sheet1!$A1031)</f>
        <v>4</v>
      </c>
      <c r="K1031" s="18" t="s">
        <v>2022</v>
      </c>
      <c r="L1031" s="19" t="str">
        <f t="shared" si="33"/>
        <v>Regular Customer</v>
      </c>
    </row>
    <row r="1032" spans="1:12" ht="15.75" customHeight="1" x14ac:dyDescent="0.3">
      <c r="A1032" s="7">
        <v>45663</v>
      </c>
      <c r="B1032" s="8" t="s">
        <v>1235</v>
      </c>
      <c r="C1032" s="8" t="s">
        <v>24</v>
      </c>
      <c r="D1032" s="8" t="s">
        <v>19</v>
      </c>
      <c r="E1032" s="9">
        <v>29.99</v>
      </c>
      <c r="F1032" s="8" t="s">
        <v>11</v>
      </c>
      <c r="G1032" s="8">
        <v>29.99</v>
      </c>
      <c r="H1032" s="10">
        <f t="shared" si="32"/>
        <v>1</v>
      </c>
      <c r="I1032" s="10">
        <f>YEAR(Sheet1!$A1032)</f>
        <v>2025</v>
      </c>
      <c r="J1032" s="10">
        <f>DAY(Sheet1!$A1032)</f>
        <v>6</v>
      </c>
      <c r="K1032" s="12" t="s">
        <v>2022</v>
      </c>
      <c r="L1032" s="13" t="str">
        <f t="shared" si="33"/>
        <v>Regular Customer</v>
      </c>
    </row>
    <row r="1033" spans="1:12" ht="15.75" customHeight="1" x14ac:dyDescent="0.3">
      <c r="A1033" s="14">
        <v>45507</v>
      </c>
      <c r="B1033" s="15" t="s">
        <v>643</v>
      </c>
      <c r="C1033" s="15" t="s">
        <v>13</v>
      </c>
      <c r="D1033" s="15" t="s">
        <v>14</v>
      </c>
      <c r="E1033" s="16">
        <v>10</v>
      </c>
      <c r="F1033" s="15" t="s">
        <v>10</v>
      </c>
      <c r="G1033" s="15">
        <v>30</v>
      </c>
      <c r="H1033" s="17">
        <f t="shared" si="32"/>
        <v>8</v>
      </c>
      <c r="I1033" s="17">
        <f>YEAR(Sheet1!$A1033)</f>
        <v>2024</v>
      </c>
      <c r="J1033" s="17">
        <f>DAY(Sheet1!$A1033)</f>
        <v>3</v>
      </c>
      <c r="K1033" s="18" t="s">
        <v>2022</v>
      </c>
      <c r="L1033" s="19" t="str">
        <f t="shared" si="33"/>
        <v>Regular Customer</v>
      </c>
    </row>
    <row r="1034" spans="1:12" ht="15.75" customHeight="1" x14ac:dyDescent="0.3">
      <c r="A1034" s="7">
        <v>45581</v>
      </c>
      <c r="B1034" s="8" t="s">
        <v>2002</v>
      </c>
      <c r="C1034" s="8" t="s">
        <v>13</v>
      </c>
      <c r="D1034" s="8" t="s">
        <v>19</v>
      </c>
      <c r="E1034" s="9">
        <v>10.02</v>
      </c>
      <c r="F1034" s="8" t="s">
        <v>10</v>
      </c>
      <c r="G1034" s="8">
        <v>30.06</v>
      </c>
      <c r="H1034" s="10">
        <f t="shared" si="32"/>
        <v>10</v>
      </c>
      <c r="I1034" s="10">
        <f>YEAR(Sheet1!$A1034)</f>
        <v>2024</v>
      </c>
      <c r="J1034" s="10">
        <f>DAY(Sheet1!$A1034)</f>
        <v>16</v>
      </c>
      <c r="K1034" s="12" t="s">
        <v>2023</v>
      </c>
      <c r="L1034" s="13" t="str">
        <f t="shared" si="33"/>
        <v>Regular Customer</v>
      </c>
    </row>
    <row r="1035" spans="1:12" ht="15.75" customHeight="1" x14ac:dyDescent="0.3">
      <c r="A1035" s="14">
        <v>45730</v>
      </c>
      <c r="B1035" s="15" t="s">
        <v>806</v>
      </c>
      <c r="C1035" s="15" t="s">
        <v>24</v>
      </c>
      <c r="D1035" s="15" t="s">
        <v>16</v>
      </c>
      <c r="E1035" s="16">
        <v>15.04</v>
      </c>
      <c r="F1035" s="15" t="s">
        <v>10</v>
      </c>
      <c r="G1035" s="15">
        <v>30.08</v>
      </c>
      <c r="H1035" s="17">
        <f t="shared" si="32"/>
        <v>3</v>
      </c>
      <c r="I1035" s="17">
        <f>YEAR(Sheet1!$A1035)</f>
        <v>2025</v>
      </c>
      <c r="J1035" s="17">
        <f>DAY(Sheet1!$A1035)</f>
        <v>14</v>
      </c>
      <c r="K1035" s="18" t="s">
        <v>2023</v>
      </c>
      <c r="L1035" s="19" t="str">
        <f t="shared" si="33"/>
        <v>Regular Customer</v>
      </c>
    </row>
    <row r="1036" spans="1:12" ht="15.75" customHeight="1" x14ac:dyDescent="0.3">
      <c r="A1036" s="7">
        <v>45540</v>
      </c>
      <c r="B1036" s="8" t="s">
        <v>233</v>
      </c>
      <c r="C1036" s="8" t="s">
        <v>13</v>
      </c>
      <c r="D1036" s="8" t="s">
        <v>14</v>
      </c>
      <c r="E1036" s="9">
        <v>10.039999999999999</v>
      </c>
      <c r="F1036" s="8" t="s">
        <v>10</v>
      </c>
      <c r="G1036" s="8">
        <v>30.12</v>
      </c>
      <c r="H1036" s="10">
        <f t="shared" si="32"/>
        <v>9</v>
      </c>
      <c r="I1036" s="10">
        <f>YEAR(Sheet1!$A1036)</f>
        <v>2024</v>
      </c>
      <c r="J1036" s="10">
        <f>DAY(Sheet1!$A1036)</f>
        <v>5</v>
      </c>
      <c r="K1036" s="12" t="s">
        <v>2022</v>
      </c>
      <c r="L1036" s="13" t="str">
        <f t="shared" si="33"/>
        <v>Regular Customer</v>
      </c>
    </row>
    <row r="1037" spans="1:12" ht="15.75" customHeight="1" x14ac:dyDescent="0.3">
      <c r="A1037" s="14">
        <v>45560</v>
      </c>
      <c r="B1037" s="15" t="s">
        <v>1877</v>
      </c>
      <c r="C1037" s="15" t="s">
        <v>13</v>
      </c>
      <c r="D1037" s="15" t="s">
        <v>16</v>
      </c>
      <c r="E1037" s="16">
        <v>15.06</v>
      </c>
      <c r="F1037" s="15" t="s">
        <v>11</v>
      </c>
      <c r="G1037" s="15">
        <v>30.12</v>
      </c>
      <c r="H1037" s="17">
        <f t="shared" si="32"/>
        <v>9</v>
      </c>
      <c r="I1037" s="17">
        <f>YEAR(Sheet1!$A1037)</f>
        <v>2024</v>
      </c>
      <c r="J1037" s="17">
        <f>DAY(Sheet1!$A1037)</f>
        <v>25</v>
      </c>
      <c r="K1037" s="18" t="s">
        <v>2023</v>
      </c>
      <c r="L1037" s="19" t="str">
        <f t="shared" si="33"/>
        <v>Regular Customer</v>
      </c>
    </row>
    <row r="1038" spans="1:12" ht="15.75" customHeight="1" x14ac:dyDescent="0.3">
      <c r="A1038" s="7">
        <v>45616</v>
      </c>
      <c r="B1038" s="8" t="s">
        <v>1842</v>
      </c>
      <c r="C1038" s="8" t="s">
        <v>13</v>
      </c>
      <c r="D1038" s="8" t="s">
        <v>16</v>
      </c>
      <c r="E1038" s="9">
        <v>10.11</v>
      </c>
      <c r="F1038" s="8" t="s">
        <v>10</v>
      </c>
      <c r="G1038" s="8">
        <v>30.33</v>
      </c>
      <c r="H1038" s="10">
        <f t="shared" si="32"/>
        <v>11</v>
      </c>
      <c r="I1038" s="10">
        <f>YEAR(Sheet1!$A1038)</f>
        <v>2024</v>
      </c>
      <c r="J1038" s="10">
        <f>DAY(Sheet1!$A1038)</f>
        <v>20</v>
      </c>
      <c r="K1038" s="12" t="s">
        <v>2022</v>
      </c>
      <c r="L1038" s="13" t="str">
        <f t="shared" si="33"/>
        <v>Regular Customer</v>
      </c>
    </row>
    <row r="1039" spans="1:12" ht="15.75" customHeight="1" x14ac:dyDescent="0.3">
      <c r="A1039" s="14">
        <v>45770</v>
      </c>
      <c r="B1039" s="15" t="s">
        <v>952</v>
      </c>
      <c r="C1039" s="15" t="s">
        <v>13</v>
      </c>
      <c r="D1039" s="15" t="s">
        <v>16</v>
      </c>
      <c r="E1039" s="16">
        <v>15.18</v>
      </c>
      <c r="F1039" s="15" t="s">
        <v>11</v>
      </c>
      <c r="G1039" s="15">
        <v>30.36</v>
      </c>
      <c r="H1039" s="17">
        <f t="shared" si="32"/>
        <v>4</v>
      </c>
      <c r="I1039" s="17">
        <f>YEAR(Sheet1!$A1039)</f>
        <v>2025</v>
      </c>
      <c r="J1039" s="17">
        <f>DAY(Sheet1!$A1039)</f>
        <v>23</v>
      </c>
      <c r="K1039" s="18" t="s">
        <v>2023</v>
      </c>
      <c r="L1039" s="19" t="str">
        <f t="shared" si="33"/>
        <v>Regular Customer</v>
      </c>
    </row>
    <row r="1040" spans="1:12" ht="15.75" customHeight="1" x14ac:dyDescent="0.3">
      <c r="A1040" s="7">
        <v>45764</v>
      </c>
      <c r="B1040" s="8" t="s">
        <v>938</v>
      </c>
      <c r="C1040" s="8" t="s">
        <v>13</v>
      </c>
      <c r="D1040" s="8" t="s">
        <v>16</v>
      </c>
      <c r="E1040" s="9">
        <v>15.25</v>
      </c>
      <c r="F1040" s="8" t="s">
        <v>11</v>
      </c>
      <c r="G1040" s="8">
        <v>30.5</v>
      </c>
      <c r="H1040" s="10">
        <f t="shared" si="32"/>
        <v>4</v>
      </c>
      <c r="I1040" s="10">
        <f>YEAR(Sheet1!$A1040)</f>
        <v>2025</v>
      </c>
      <c r="J1040" s="10">
        <f>DAY(Sheet1!$A1040)</f>
        <v>17</v>
      </c>
      <c r="K1040" s="12" t="s">
        <v>2022</v>
      </c>
      <c r="L1040" s="13" t="str">
        <f t="shared" si="33"/>
        <v>Regular Customer</v>
      </c>
    </row>
    <row r="1041" spans="1:12" ht="15.75" customHeight="1" x14ac:dyDescent="0.3">
      <c r="A1041" s="14">
        <v>45659</v>
      </c>
      <c r="B1041" s="15" t="s">
        <v>1380</v>
      </c>
      <c r="C1041" s="15" t="s">
        <v>18</v>
      </c>
      <c r="D1041" s="15" t="s">
        <v>19</v>
      </c>
      <c r="E1041" s="16">
        <v>10.17</v>
      </c>
      <c r="F1041" s="15" t="s">
        <v>11</v>
      </c>
      <c r="G1041" s="15">
        <v>30.51</v>
      </c>
      <c r="H1041" s="17">
        <f t="shared" si="32"/>
        <v>1</v>
      </c>
      <c r="I1041" s="17">
        <f>YEAR(Sheet1!$A1041)</f>
        <v>2025</v>
      </c>
      <c r="J1041" s="17">
        <f>DAY(Sheet1!$A1041)</f>
        <v>2</v>
      </c>
      <c r="K1041" s="18" t="s">
        <v>2022</v>
      </c>
      <c r="L1041" s="19" t="str">
        <f t="shared" si="33"/>
        <v>Regular Customer</v>
      </c>
    </row>
    <row r="1042" spans="1:12" ht="15.75" customHeight="1" x14ac:dyDescent="0.3">
      <c r="A1042" s="7">
        <v>45483</v>
      </c>
      <c r="B1042" s="8" t="s">
        <v>904</v>
      </c>
      <c r="C1042" s="8" t="s">
        <v>13</v>
      </c>
      <c r="D1042" s="8" t="s">
        <v>16</v>
      </c>
      <c r="E1042" s="9">
        <v>15.26</v>
      </c>
      <c r="F1042" s="8" t="s">
        <v>10</v>
      </c>
      <c r="G1042" s="8">
        <v>30.52</v>
      </c>
      <c r="H1042" s="10">
        <f t="shared" si="32"/>
        <v>7</v>
      </c>
      <c r="I1042" s="10">
        <f>YEAR(Sheet1!$A1042)</f>
        <v>2024</v>
      </c>
      <c r="J1042" s="10">
        <f>DAY(Sheet1!$A1042)</f>
        <v>10</v>
      </c>
      <c r="K1042" s="12" t="s">
        <v>2022</v>
      </c>
      <c r="L1042" s="13" t="str">
        <f t="shared" si="33"/>
        <v>Regular Customer</v>
      </c>
    </row>
    <row r="1043" spans="1:12" ht="15.75" customHeight="1" x14ac:dyDescent="0.3">
      <c r="A1043" s="14">
        <v>45489</v>
      </c>
      <c r="B1043" s="15" t="s">
        <v>153</v>
      </c>
      <c r="C1043" s="15" t="s">
        <v>13</v>
      </c>
      <c r="D1043" s="15" t="s">
        <v>19</v>
      </c>
      <c r="E1043" s="16">
        <v>10.18</v>
      </c>
      <c r="F1043" s="15" t="s">
        <v>11</v>
      </c>
      <c r="G1043" s="15">
        <v>30.54</v>
      </c>
      <c r="H1043" s="17">
        <f t="shared" si="32"/>
        <v>7</v>
      </c>
      <c r="I1043" s="17">
        <f>YEAR(Sheet1!$A1043)</f>
        <v>2024</v>
      </c>
      <c r="J1043" s="17">
        <f>DAY(Sheet1!$A1043)</f>
        <v>16</v>
      </c>
      <c r="K1043" s="18" t="s">
        <v>2023</v>
      </c>
      <c r="L1043" s="19" t="str">
        <f t="shared" si="33"/>
        <v>Regular Customer</v>
      </c>
    </row>
    <row r="1044" spans="1:12" ht="15.75" customHeight="1" x14ac:dyDescent="0.3">
      <c r="A1044" s="7">
        <v>45587</v>
      </c>
      <c r="B1044" s="8" t="s">
        <v>613</v>
      </c>
      <c r="C1044" s="8" t="s">
        <v>18</v>
      </c>
      <c r="D1044" s="8" t="s">
        <v>14</v>
      </c>
      <c r="E1044" s="9">
        <v>10.18</v>
      </c>
      <c r="F1044" s="8" t="s">
        <v>11</v>
      </c>
      <c r="G1044" s="8">
        <v>30.54</v>
      </c>
      <c r="H1044" s="10">
        <f t="shared" si="32"/>
        <v>10</v>
      </c>
      <c r="I1044" s="10">
        <f>YEAR(Sheet1!$A1044)</f>
        <v>2024</v>
      </c>
      <c r="J1044" s="10">
        <f>DAY(Sheet1!$A1044)</f>
        <v>22</v>
      </c>
      <c r="K1044" s="12" t="s">
        <v>2023</v>
      </c>
      <c r="L1044" s="13" t="str">
        <f t="shared" si="33"/>
        <v>Regular Customer</v>
      </c>
    </row>
    <row r="1045" spans="1:12" ht="15.75" customHeight="1" x14ac:dyDescent="0.3">
      <c r="A1045" s="14">
        <v>45582</v>
      </c>
      <c r="B1045" s="15" t="s">
        <v>1367</v>
      </c>
      <c r="C1045" s="15" t="s">
        <v>8</v>
      </c>
      <c r="D1045" s="15" t="s">
        <v>16</v>
      </c>
      <c r="E1045" s="16">
        <v>10.26</v>
      </c>
      <c r="F1045" s="15" t="s">
        <v>11</v>
      </c>
      <c r="G1045" s="15">
        <v>30.78</v>
      </c>
      <c r="H1045" s="17">
        <f t="shared" si="32"/>
        <v>10</v>
      </c>
      <c r="I1045" s="17">
        <f>YEAR(Sheet1!$A1045)</f>
        <v>2024</v>
      </c>
      <c r="J1045" s="17">
        <f>DAY(Sheet1!$A1045)</f>
        <v>17</v>
      </c>
      <c r="K1045" s="18" t="s">
        <v>2022</v>
      </c>
      <c r="L1045" s="19" t="str">
        <f t="shared" si="33"/>
        <v>Regular Customer</v>
      </c>
    </row>
    <row r="1046" spans="1:12" ht="15.75" customHeight="1" x14ac:dyDescent="0.3">
      <c r="A1046" s="7">
        <v>45642</v>
      </c>
      <c r="B1046" s="8" t="s">
        <v>424</v>
      </c>
      <c r="C1046" s="8" t="s">
        <v>13</v>
      </c>
      <c r="D1046" s="8" t="s">
        <v>14</v>
      </c>
      <c r="E1046" s="9">
        <v>10.26</v>
      </c>
      <c r="F1046" s="8" t="s">
        <v>10</v>
      </c>
      <c r="G1046" s="8">
        <v>30.78</v>
      </c>
      <c r="H1046" s="10">
        <f t="shared" si="32"/>
        <v>12</v>
      </c>
      <c r="I1046" s="10">
        <f>YEAR(Sheet1!$A1046)</f>
        <v>2024</v>
      </c>
      <c r="J1046" s="10">
        <f>DAY(Sheet1!$A1046)</f>
        <v>16</v>
      </c>
      <c r="K1046" s="12" t="s">
        <v>2022</v>
      </c>
      <c r="L1046" s="13" t="str">
        <f t="shared" si="33"/>
        <v>Regular Customer</v>
      </c>
    </row>
    <row r="1047" spans="1:12" ht="15.75" customHeight="1" x14ac:dyDescent="0.3">
      <c r="A1047" s="14">
        <v>45607</v>
      </c>
      <c r="B1047" s="15" t="s">
        <v>1474</v>
      </c>
      <c r="C1047" s="15" t="s">
        <v>13</v>
      </c>
      <c r="D1047" s="15" t="s">
        <v>9</v>
      </c>
      <c r="E1047" s="16">
        <v>10.27</v>
      </c>
      <c r="F1047" s="15" t="s">
        <v>10</v>
      </c>
      <c r="G1047" s="15">
        <v>30.81</v>
      </c>
      <c r="H1047" s="17">
        <f t="shared" si="32"/>
        <v>11</v>
      </c>
      <c r="I1047" s="17">
        <f>YEAR(Sheet1!$A1047)</f>
        <v>2024</v>
      </c>
      <c r="J1047" s="17">
        <f>DAY(Sheet1!$A1047)</f>
        <v>11</v>
      </c>
      <c r="K1047" s="18" t="s">
        <v>2023</v>
      </c>
      <c r="L1047" s="19" t="str">
        <f t="shared" si="33"/>
        <v>Regular Customer</v>
      </c>
    </row>
    <row r="1048" spans="1:12" ht="15.75" customHeight="1" x14ac:dyDescent="0.3">
      <c r="A1048" s="7">
        <v>45454</v>
      </c>
      <c r="B1048" s="8" t="s">
        <v>55</v>
      </c>
      <c r="C1048" s="8" t="s">
        <v>13</v>
      </c>
      <c r="D1048" s="8" t="s">
        <v>9</v>
      </c>
      <c r="E1048" s="9">
        <v>10.28</v>
      </c>
      <c r="F1048" s="8" t="s">
        <v>10</v>
      </c>
      <c r="G1048" s="8">
        <v>30.84</v>
      </c>
      <c r="H1048" s="10">
        <f t="shared" si="32"/>
        <v>6</v>
      </c>
      <c r="I1048" s="10">
        <f>YEAR(Sheet1!$A1048)</f>
        <v>2024</v>
      </c>
      <c r="J1048" s="10">
        <f>DAY(Sheet1!$A1048)</f>
        <v>11</v>
      </c>
      <c r="K1048" s="12" t="s">
        <v>2022</v>
      </c>
      <c r="L1048" s="13" t="str">
        <f t="shared" si="33"/>
        <v>Regular Customer</v>
      </c>
    </row>
    <row r="1049" spans="1:12" ht="15.75" customHeight="1" x14ac:dyDescent="0.3">
      <c r="A1049" s="14">
        <v>45730</v>
      </c>
      <c r="B1049" s="15" t="s">
        <v>1837</v>
      </c>
      <c r="C1049" s="15" t="s">
        <v>8</v>
      </c>
      <c r="D1049" s="15" t="s">
        <v>16</v>
      </c>
      <c r="E1049" s="16">
        <v>15.42</v>
      </c>
      <c r="F1049" s="15" t="s">
        <v>11</v>
      </c>
      <c r="G1049" s="15">
        <v>30.84</v>
      </c>
      <c r="H1049" s="17">
        <f t="shared" si="32"/>
        <v>3</v>
      </c>
      <c r="I1049" s="17">
        <f>YEAR(Sheet1!$A1049)</f>
        <v>2025</v>
      </c>
      <c r="J1049" s="17">
        <f>DAY(Sheet1!$A1049)</f>
        <v>14</v>
      </c>
      <c r="K1049" s="18" t="s">
        <v>2023</v>
      </c>
      <c r="L1049" s="19" t="str">
        <f t="shared" si="33"/>
        <v>Regular Customer</v>
      </c>
    </row>
    <row r="1050" spans="1:12" ht="15.75" customHeight="1" x14ac:dyDescent="0.3">
      <c r="A1050" s="7">
        <v>45718</v>
      </c>
      <c r="B1050" s="8" t="s">
        <v>1329</v>
      </c>
      <c r="C1050" s="8" t="s">
        <v>13</v>
      </c>
      <c r="D1050" s="8" t="s">
        <v>14</v>
      </c>
      <c r="E1050" s="9">
        <v>15.44</v>
      </c>
      <c r="F1050" s="8" t="s">
        <v>10</v>
      </c>
      <c r="G1050" s="8">
        <v>30.88</v>
      </c>
      <c r="H1050" s="10">
        <f t="shared" si="32"/>
        <v>3</v>
      </c>
      <c r="I1050" s="10">
        <f>YEAR(Sheet1!$A1050)</f>
        <v>2025</v>
      </c>
      <c r="J1050" s="10">
        <f>DAY(Sheet1!$A1050)</f>
        <v>2</v>
      </c>
      <c r="K1050" s="12" t="s">
        <v>2023</v>
      </c>
      <c r="L1050" s="13" t="str">
        <f t="shared" si="33"/>
        <v>Regular Customer</v>
      </c>
    </row>
    <row r="1051" spans="1:12" ht="15.75" customHeight="1" x14ac:dyDescent="0.3">
      <c r="A1051" s="14">
        <v>45604</v>
      </c>
      <c r="B1051" s="15" t="s">
        <v>1357</v>
      </c>
      <c r="C1051" s="15" t="s">
        <v>18</v>
      </c>
      <c r="D1051" s="15" t="s">
        <v>19</v>
      </c>
      <c r="E1051" s="16">
        <v>10.32</v>
      </c>
      <c r="F1051" s="15" t="s">
        <v>10</v>
      </c>
      <c r="G1051" s="15">
        <v>30.96</v>
      </c>
      <c r="H1051" s="17">
        <f t="shared" si="32"/>
        <v>11</v>
      </c>
      <c r="I1051" s="17">
        <f>YEAR(Sheet1!$A1051)</f>
        <v>2024</v>
      </c>
      <c r="J1051" s="17">
        <f>DAY(Sheet1!$A1051)</f>
        <v>8</v>
      </c>
      <c r="K1051" s="18" t="s">
        <v>2022</v>
      </c>
      <c r="L1051" s="19" t="str">
        <f t="shared" si="33"/>
        <v>Regular Customer</v>
      </c>
    </row>
    <row r="1052" spans="1:12" ht="15.75" customHeight="1" x14ac:dyDescent="0.3">
      <c r="A1052" s="7">
        <v>45647</v>
      </c>
      <c r="B1052" s="8" t="s">
        <v>989</v>
      </c>
      <c r="C1052" s="8" t="s">
        <v>24</v>
      </c>
      <c r="D1052" s="8" t="s">
        <v>9</v>
      </c>
      <c r="E1052" s="9">
        <v>10.32</v>
      </c>
      <c r="F1052" s="8" t="s">
        <v>11</v>
      </c>
      <c r="G1052" s="8">
        <v>30.96</v>
      </c>
      <c r="H1052" s="10">
        <f t="shared" si="32"/>
        <v>12</v>
      </c>
      <c r="I1052" s="10">
        <f>YEAR(Sheet1!$A1052)</f>
        <v>2024</v>
      </c>
      <c r="J1052" s="10">
        <f>DAY(Sheet1!$A1052)</f>
        <v>21</v>
      </c>
      <c r="K1052" s="12" t="s">
        <v>2022</v>
      </c>
      <c r="L1052" s="13" t="str">
        <f t="shared" si="33"/>
        <v>Regular Customer</v>
      </c>
    </row>
    <row r="1053" spans="1:12" ht="15.75" customHeight="1" x14ac:dyDescent="0.3">
      <c r="A1053" s="14">
        <v>45658</v>
      </c>
      <c r="B1053" s="15" t="s">
        <v>1389</v>
      </c>
      <c r="C1053" s="15" t="s">
        <v>18</v>
      </c>
      <c r="D1053" s="15" t="s">
        <v>19</v>
      </c>
      <c r="E1053" s="16">
        <v>15.57</v>
      </c>
      <c r="F1053" s="15" t="s">
        <v>11</v>
      </c>
      <c r="G1053" s="15">
        <v>31.14</v>
      </c>
      <c r="H1053" s="17">
        <f t="shared" si="32"/>
        <v>1</v>
      </c>
      <c r="I1053" s="17">
        <f>YEAR(Sheet1!$A1053)</f>
        <v>2025</v>
      </c>
      <c r="J1053" s="17">
        <f>DAY(Sheet1!$A1053)</f>
        <v>1</v>
      </c>
      <c r="K1053" s="18" t="s">
        <v>2023</v>
      </c>
      <c r="L1053" s="19" t="str">
        <f t="shared" si="33"/>
        <v>Regular Customer</v>
      </c>
    </row>
    <row r="1054" spans="1:12" ht="15.75" customHeight="1" x14ac:dyDescent="0.3">
      <c r="A1054" s="7">
        <v>45594</v>
      </c>
      <c r="B1054" s="8" t="s">
        <v>1008</v>
      </c>
      <c r="C1054" s="8" t="s">
        <v>13</v>
      </c>
      <c r="D1054" s="8" t="s">
        <v>19</v>
      </c>
      <c r="E1054" s="9">
        <v>10.39</v>
      </c>
      <c r="F1054" s="8" t="s">
        <v>10</v>
      </c>
      <c r="G1054" s="8">
        <v>31.17</v>
      </c>
      <c r="H1054" s="10">
        <f t="shared" si="32"/>
        <v>10</v>
      </c>
      <c r="I1054" s="10">
        <f>YEAR(Sheet1!$A1054)</f>
        <v>2024</v>
      </c>
      <c r="J1054" s="10">
        <f>DAY(Sheet1!$A1054)</f>
        <v>29</v>
      </c>
      <c r="K1054" s="12" t="s">
        <v>2023</v>
      </c>
      <c r="L1054" s="13" t="str">
        <f t="shared" si="33"/>
        <v>Regular Customer</v>
      </c>
    </row>
    <row r="1055" spans="1:12" ht="15.75" customHeight="1" x14ac:dyDescent="0.3">
      <c r="A1055" s="14">
        <v>45664</v>
      </c>
      <c r="B1055" s="15" t="s">
        <v>1155</v>
      </c>
      <c r="C1055" s="15" t="s">
        <v>24</v>
      </c>
      <c r="D1055" s="15" t="s">
        <v>19</v>
      </c>
      <c r="E1055" s="16">
        <v>15.59</v>
      </c>
      <c r="F1055" s="15" t="s">
        <v>11</v>
      </c>
      <c r="G1055" s="15">
        <v>31.18</v>
      </c>
      <c r="H1055" s="17">
        <f t="shared" si="32"/>
        <v>1</v>
      </c>
      <c r="I1055" s="17">
        <f>YEAR(Sheet1!$A1055)</f>
        <v>2025</v>
      </c>
      <c r="J1055" s="17">
        <f>DAY(Sheet1!$A1055)</f>
        <v>7</v>
      </c>
      <c r="K1055" s="18" t="s">
        <v>2023</v>
      </c>
      <c r="L1055" s="19" t="str">
        <f t="shared" si="33"/>
        <v>Regular Customer</v>
      </c>
    </row>
    <row r="1056" spans="1:12" ht="15.75" customHeight="1" x14ac:dyDescent="0.3">
      <c r="A1056" s="7">
        <v>45666</v>
      </c>
      <c r="B1056" s="8" t="s">
        <v>191</v>
      </c>
      <c r="C1056" s="8" t="s">
        <v>24</v>
      </c>
      <c r="D1056" s="8" t="s">
        <v>19</v>
      </c>
      <c r="E1056" s="9">
        <v>10.42</v>
      </c>
      <c r="F1056" s="8" t="s">
        <v>11</v>
      </c>
      <c r="G1056" s="8">
        <v>31.26</v>
      </c>
      <c r="H1056" s="10">
        <f t="shared" si="32"/>
        <v>1</v>
      </c>
      <c r="I1056" s="10">
        <f>YEAR(Sheet1!$A1056)</f>
        <v>2025</v>
      </c>
      <c r="J1056" s="10">
        <f>DAY(Sheet1!$A1056)</f>
        <v>9</v>
      </c>
      <c r="K1056" s="12" t="s">
        <v>2023</v>
      </c>
      <c r="L1056" s="13" t="str">
        <f t="shared" si="33"/>
        <v>Regular Customer</v>
      </c>
    </row>
    <row r="1057" spans="1:12" ht="15.75" customHeight="1" x14ac:dyDescent="0.3">
      <c r="A1057" s="14">
        <v>45473</v>
      </c>
      <c r="B1057" s="15" t="s">
        <v>816</v>
      </c>
      <c r="C1057" s="15" t="s">
        <v>18</v>
      </c>
      <c r="D1057" s="15" t="s">
        <v>16</v>
      </c>
      <c r="E1057" s="16">
        <v>15.65</v>
      </c>
      <c r="F1057" s="15" t="s">
        <v>10</v>
      </c>
      <c r="G1057" s="15">
        <v>31.3</v>
      </c>
      <c r="H1057" s="17">
        <f t="shared" si="32"/>
        <v>6</v>
      </c>
      <c r="I1057" s="17">
        <f>YEAR(Sheet1!$A1057)</f>
        <v>2024</v>
      </c>
      <c r="J1057" s="17">
        <f>DAY(Sheet1!$A1057)</f>
        <v>30</v>
      </c>
      <c r="K1057" s="18" t="s">
        <v>2023</v>
      </c>
      <c r="L1057" s="19" t="str">
        <f t="shared" si="33"/>
        <v>Regular Customer</v>
      </c>
    </row>
    <row r="1058" spans="1:12" ht="15.75" customHeight="1" x14ac:dyDescent="0.3">
      <c r="A1058" s="7">
        <v>45520</v>
      </c>
      <c r="B1058" s="8" t="s">
        <v>1527</v>
      </c>
      <c r="C1058" s="8" t="s">
        <v>8</v>
      </c>
      <c r="D1058" s="8" t="s">
        <v>16</v>
      </c>
      <c r="E1058" s="9">
        <v>15.66</v>
      </c>
      <c r="F1058" s="8" t="s">
        <v>10</v>
      </c>
      <c r="G1058" s="8">
        <v>31.32</v>
      </c>
      <c r="H1058" s="10">
        <f t="shared" si="32"/>
        <v>8</v>
      </c>
      <c r="I1058" s="10">
        <f>YEAR(Sheet1!$A1058)</f>
        <v>2024</v>
      </c>
      <c r="J1058" s="10">
        <f>DAY(Sheet1!$A1058)</f>
        <v>16</v>
      </c>
      <c r="K1058" s="12" t="s">
        <v>2022</v>
      </c>
      <c r="L1058" s="13" t="str">
        <f t="shared" si="33"/>
        <v>Regular Customer</v>
      </c>
    </row>
    <row r="1059" spans="1:12" ht="15.75" customHeight="1" x14ac:dyDescent="0.3">
      <c r="A1059" s="14">
        <v>45460</v>
      </c>
      <c r="B1059" s="15" t="s">
        <v>1016</v>
      </c>
      <c r="C1059" s="15" t="s">
        <v>18</v>
      </c>
      <c r="D1059" s="15" t="s">
        <v>19</v>
      </c>
      <c r="E1059" s="16">
        <v>15.67</v>
      </c>
      <c r="F1059" s="15" t="s">
        <v>10</v>
      </c>
      <c r="G1059" s="15">
        <v>31.34</v>
      </c>
      <c r="H1059" s="17">
        <f t="shared" si="32"/>
        <v>6</v>
      </c>
      <c r="I1059" s="17">
        <f>YEAR(Sheet1!$A1059)</f>
        <v>2024</v>
      </c>
      <c r="J1059" s="17">
        <f>DAY(Sheet1!$A1059)</f>
        <v>17</v>
      </c>
      <c r="K1059" s="18" t="s">
        <v>2023</v>
      </c>
      <c r="L1059" s="19" t="str">
        <f t="shared" si="33"/>
        <v>Regular Customer</v>
      </c>
    </row>
    <row r="1060" spans="1:12" ht="15.75" customHeight="1" x14ac:dyDescent="0.3">
      <c r="A1060" s="7">
        <v>45717</v>
      </c>
      <c r="B1060" s="8" t="s">
        <v>1803</v>
      </c>
      <c r="C1060" s="8" t="s">
        <v>18</v>
      </c>
      <c r="D1060" s="8" t="s">
        <v>9</v>
      </c>
      <c r="E1060" s="9">
        <v>15.7</v>
      </c>
      <c r="F1060" s="8" t="s">
        <v>11</v>
      </c>
      <c r="G1060" s="8">
        <v>31.4</v>
      </c>
      <c r="H1060" s="10">
        <f t="shared" si="32"/>
        <v>3</v>
      </c>
      <c r="I1060" s="10">
        <f>YEAR(Sheet1!$A1060)</f>
        <v>2025</v>
      </c>
      <c r="J1060" s="10">
        <f>DAY(Sheet1!$A1060)</f>
        <v>1</v>
      </c>
      <c r="K1060" s="12" t="s">
        <v>2023</v>
      </c>
      <c r="L1060" s="13" t="str">
        <f t="shared" si="33"/>
        <v>Regular Customer</v>
      </c>
    </row>
    <row r="1061" spans="1:12" ht="15.75" customHeight="1" x14ac:dyDescent="0.3">
      <c r="A1061" s="14">
        <v>45620</v>
      </c>
      <c r="B1061" s="15" t="s">
        <v>1626</v>
      </c>
      <c r="C1061" s="15" t="s">
        <v>24</v>
      </c>
      <c r="D1061" s="15" t="s">
        <v>16</v>
      </c>
      <c r="E1061" s="16">
        <v>15.71</v>
      </c>
      <c r="F1061" s="15" t="s">
        <v>10</v>
      </c>
      <c r="G1061" s="15">
        <v>31.42</v>
      </c>
      <c r="H1061" s="17">
        <f t="shared" si="32"/>
        <v>11</v>
      </c>
      <c r="I1061" s="17">
        <f>YEAR(Sheet1!$A1061)</f>
        <v>2024</v>
      </c>
      <c r="J1061" s="17">
        <f>DAY(Sheet1!$A1061)</f>
        <v>24</v>
      </c>
      <c r="K1061" s="18" t="s">
        <v>2022</v>
      </c>
      <c r="L1061" s="19" t="str">
        <f t="shared" si="33"/>
        <v>Regular Customer</v>
      </c>
    </row>
    <row r="1062" spans="1:12" ht="15.75" customHeight="1" x14ac:dyDescent="0.3">
      <c r="A1062" s="7">
        <v>45749</v>
      </c>
      <c r="B1062" s="8" t="s">
        <v>1098</v>
      </c>
      <c r="C1062" s="8" t="s">
        <v>13</v>
      </c>
      <c r="D1062" s="8" t="s">
        <v>14</v>
      </c>
      <c r="E1062" s="9">
        <v>15.72</v>
      </c>
      <c r="F1062" s="8" t="s">
        <v>10</v>
      </c>
      <c r="G1062" s="8">
        <v>31.44</v>
      </c>
      <c r="H1062" s="10">
        <f t="shared" si="32"/>
        <v>4</v>
      </c>
      <c r="I1062" s="10">
        <f>YEAR(Sheet1!$A1062)</f>
        <v>2025</v>
      </c>
      <c r="J1062" s="10">
        <f>DAY(Sheet1!$A1062)</f>
        <v>2</v>
      </c>
      <c r="K1062" s="12" t="s">
        <v>2022</v>
      </c>
      <c r="L1062" s="13" t="str">
        <f t="shared" si="33"/>
        <v>Regular Customer</v>
      </c>
    </row>
    <row r="1063" spans="1:12" ht="15.75" customHeight="1" x14ac:dyDescent="0.3">
      <c r="A1063" s="14">
        <v>45550</v>
      </c>
      <c r="B1063" s="15" t="s">
        <v>262</v>
      </c>
      <c r="C1063" s="15" t="s">
        <v>18</v>
      </c>
      <c r="D1063" s="15" t="s">
        <v>9</v>
      </c>
      <c r="E1063" s="16">
        <v>15.78</v>
      </c>
      <c r="F1063" s="15" t="s">
        <v>11</v>
      </c>
      <c r="G1063" s="15">
        <v>31.56</v>
      </c>
      <c r="H1063" s="17">
        <f t="shared" si="32"/>
        <v>9</v>
      </c>
      <c r="I1063" s="17">
        <f>YEAR(Sheet1!$A1063)</f>
        <v>2024</v>
      </c>
      <c r="J1063" s="17">
        <f>DAY(Sheet1!$A1063)</f>
        <v>15</v>
      </c>
      <c r="K1063" s="18" t="s">
        <v>2023</v>
      </c>
      <c r="L1063" s="19" t="str">
        <f t="shared" si="33"/>
        <v>Regular Customer</v>
      </c>
    </row>
    <row r="1064" spans="1:12" ht="15.75" customHeight="1" x14ac:dyDescent="0.3">
      <c r="A1064" s="7">
        <v>45615</v>
      </c>
      <c r="B1064" s="8" t="s">
        <v>887</v>
      </c>
      <c r="C1064" s="8" t="s">
        <v>18</v>
      </c>
      <c r="D1064" s="8" t="s">
        <v>16</v>
      </c>
      <c r="E1064" s="9">
        <v>10.53</v>
      </c>
      <c r="F1064" s="8" t="s">
        <v>10</v>
      </c>
      <c r="G1064" s="8">
        <v>31.59</v>
      </c>
      <c r="H1064" s="10">
        <f t="shared" si="32"/>
        <v>11</v>
      </c>
      <c r="I1064" s="10">
        <f>YEAR(Sheet1!$A1064)</f>
        <v>2024</v>
      </c>
      <c r="J1064" s="10">
        <f>DAY(Sheet1!$A1064)</f>
        <v>19</v>
      </c>
      <c r="K1064" s="12" t="s">
        <v>2023</v>
      </c>
      <c r="L1064" s="13" t="str">
        <f t="shared" si="33"/>
        <v>Regular Customer</v>
      </c>
    </row>
    <row r="1065" spans="1:12" ht="15.75" customHeight="1" x14ac:dyDescent="0.3">
      <c r="A1065" s="14">
        <v>45755</v>
      </c>
      <c r="B1065" s="15" t="s">
        <v>1892</v>
      </c>
      <c r="C1065" s="15" t="s">
        <v>13</v>
      </c>
      <c r="D1065" s="15" t="s">
        <v>16</v>
      </c>
      <c r="E1065" s="16">
        <v>15.8</v>
      </c>
      <c r="F1065" s="15" t="s">
        <v>11</v>
      </c>
      <c r="G1065" s="15">
        <v>31.6</v>
      </c>
      <c r="H1065" s="17">
        <f t="shared" si="32"/>
        <v>4</v>
      </c>
      <c r="I1065" s="17">
        <f>YEAR(Sheet1!$A1065)</f>
        <v>2025</v>
      </c>
      <c r="J1065" s="17">
        <f>DAY(Sheet1!$A1065)</f>
        <v>8</v>
      </c>
      <c r="K1065" s="18" t="s">
        <v>2022</v>
      </c>
      <c r="L1065" s="19" t="str">
        <f t="shared" si="33"/>
        <v>Regular Customer</v>
      </c>
    </row>
    <row r="1066" spans="1:12" ht="15.75" customHeight="1" x14ac:dyDescent="0.3">
      <c r="A1066" s="7">
        <v>45562</v>
      </c>
      <c r="B1066" s="8" t="s">
        <v>458</v>
      </c>
      <c r="C1066" s="8" t="s">
        <v>13</v>
      </c>
      <c r="D1066" s="8" t="s">
        <v>19</v>
      </c>
      <c r="E1066" s="9">
        <v>10.54</v>
      </c>
      <c r="F1066" s="8" t="s">
        <v>11</v>
      </c>
      <c r="G1066" s="8">
        <v>31.62</v>
      </c>
      <c r="H1066" s="10">
        <f t="shared" si="32"/>
        <v>9</v>
      </c>
      <c r="I1066" s="10">
        <f>YEAR(Sheet1!$A1066)</f>
        <v>2024</v>
      </c>
      <c r="J1066" s="10">
        <f>DAY(Sheet1!$A1066)</f>
        <v>27</v>
      </c>
      <c r="K1066" s="12" t="s">
        <v>2023</v>
      </c>
      <c r="L1066" s="13" t="str">
        <f t="shared" si="33"/>
        <v>Regular Customer</v>
      </c>
    </row>
    <row r="1067" spans="1:12" ht="15.75" customHeight="1" x14ac:dyDescent="0.3">
      <c r="A1067" s="14">
        <v>45715</v>
      </c>
      <c r="B1067" s="15" t="s">
        <v>461</v>
      </c>
      <c r="C1067" s="15" t="s">
        <v>24</v>
      </c>
      <c r="D1067" s="15" t="s">
        <v>14</v>
      </c>
      <c r="E1067" s="16">
        <v>10.55</v>
      </c>
      <c r="F1067" s="15" t="s">
        <v>11</v>
      </c>
      <c r="G1067" s="15">
        <v>31.65</v>
      </c>
      <c r="H1067" s="17">
        <f t="shared" si="32"/>
        <v>2</v>
      </c>
      <c r="I1067" s="17">
        <f>YEAR(Sheet1!$A1067)</f>
        <v>2025</v>
      </c>
      <c r="J1067" s="17">
        <f>DAY(Sheet1!$A1067)</f>
        <v>27</v>
      </c>
      <c r="K1067" s="18" t="s">
        <v>2023</v>
      </c>
      <c r="L1067" s="19" t="str">
        <f t="shared" si="33"/>
        <v>Regular Customer</v>
      </c>
    </row>
    <row r="1068" spans="1:12" ht="15.75" customHeight="1" x14ac:dyDescent="0.3">
      <c r="A1068" s="7">
        <v>45657</v>
      </c>
      <c r="B1068" s="8" t="s">
        <v>1424</v>
      </c>
      <c r="C1068" s="8" t="s">
        <v>8</v>
      </c>
      <c r="D1068" s="8" t="s">
        <v>14</v>
      </c>
      <c r="E1068" s="9">
        <v>15.83</v>
      </c>
      <c r="F1068" s="8" t="s">
        <v>10</v>
      </c>
      <c r="G1068" s="8">
        <v>31.66</v>
      </c>
      <c r="H1068" s="10">
        <f t="shared" si="32"/>
        <v>12</v>
      </c>
      <c r="I1068" s="10">
        <f>YEAR(Sheet1!$A1068)</f>
        <v>2024</v>
      </c>
      <c r="J1068" s="10">
        <f>DAY(Sheet1!$A1068)</f>
        <v>31</v>
      </c>
      <c r="K1068" s="12" t="s">
        <v>2022</v>
      </c>
      <c r="L1068" s="13" t="str">
        <f t="shared" si="33"/>
        <v>Regular Customer</v>
      </c>
    </row>
    <row r="1069" spans="1:12" ht="15.75" customHeight="1" x14ac:dyDescent="0.3">
      <c r="A1069" s="14">
        <v>45527</v>
      </c>
      <c r="B1069" s="15" t="s">
        <v>1996</v>
      </c>
      <c r="C1069" s="15" t="s">
        <v>8</v>
      </c>
      <c r="D1069" s="15" t="s">
        <v>9</v>
      </c>
      <c r="E1069" s="16">
        <v>15.86</v>
      </c>
      <c r="F1069" s="15" t="s">
        <v>10</v>
      </c>
      <c r="G1069" s="15">
        <v>31.72</v>
      </c>
      <c r="H1069" s="17">
        <f t="shared" si="32"/>
        <v>8</v>
      </c>
      <c r="I1069" s="17">
        <f>YEAR(Sheet1!$A1069)</f>
        <v>2024</v>
      </c>
      <c r="J1069" s="17">
        <f>DAY(Sheet1!$A1069)</f>
        <v>23</v>
      </c>
      <c r="K1069" s="18" t="s">
        <v>2023</v>
      </c>
      <c r="L1069" s="19" t="str">
        <f t="shared" si="33"/>
        <v>Regular Customer</v>
      </c>
    </row>
    <row r="1070" spans="1:12" ht="15.75" customHeight="1" x14ac:dyDescent="0.3">
      <c r="A1070" s="7">
        <v>45606</v>
      </c>
      <c r="B1070" s="8" t="s">
        <v>1617</v>
      </c>
      <c r="C1070" s="8" t="s">
        <v>18</v>
      </c>
      <c r="D1070" s="8" t="s">
        <v>16</v>
      </c>
      <c r="E1070" s="9">
        <v>15.86</v>
      </c>
      <c r="F1070" s="8" t="s">
        <v>11</v>
      </c>
      <c r="G1070" s="8">
        <v>31.72</v>
      </c>
      <c r="H1070" s="10">
        <f t="shared" si="32"/>
        <v>11</v>
      </c>
      <c r="I1070" s="10">
        <f>YEAR(Sheet1!$A1070)</f>
        <v>2024</v>
      </c>
      <c r="J1070" s="10">
        <f>DAY(Sheet1!$A1070)</f>
        <v>10</v>
      </c>
      <c r="K1070" s="12" t="s">
        <v>2022</v>
      </c>
      <c r="L1070" s="13" t="str">
        <f t="shared" si="33"/>
        <v>Regular Customer</v>
      </c>
    </row>
    <row r="1071" spans="1:12" ht="15.75" customHeight="1" x14ac:dyDescent="0.3">
      <c r="A1071" s="14">
        <v>45537</v>
      </c>
      <c r="B1071" s="15" t="s">
        <v>1450</v>
      </c>
      <c r="C1071" s="15" t="s">
        <v>24</v>
      </c>
      <c r="D1071" s="15" t="s">
        <v>19</v>
      </c>
      <c r="E1071" s="16">
        <v>10.58</v>
      </c>
      <c r="F1071" s="15" t="s">
        <v>11</v>
      </c>
      <c r="G1071" s="15">
        <v>31.74</v>
      </c>
      <c r="H1071" s="17">
        <f t="shared" si="32"/>
        <v>9</v>
      </c>
      <c r="I1071" s="17">
        <f>YEAR(Sheet1!$A1071)</f>
        <v>2024</v>
      </c>
      <c r="J1071" s="17">
        <f>DAY(Sheet1!$A1071)</f>
        <v>2</v>
      </c>
      <c r="K1071" s="18" t="s">
        <v>2022</v>
      </c>
      <c r="L1071" s="19" t="str">
        <f t="shared" si="33"/>
        <v>Regular Customer</v>
      </c>
    </row>
    <row r="1072" spans="1:12" ht="15.75" customHeight="1" x14ac:dyDescent="0.3">
      <c r="A1072" s="7">
        <v>45764</v>
      </c>
      <c r="B1072" s="8" t="s">
        <v>553</v>
      </c>
      <c r="C1072" s="8" t="s">
        <v>13</v>
      </c>
      <c r="D1072" s="8" t="s">
        <v>9</v>
      </c>
      <c r="E1072" s="9">
        <v>15.94</v>
      </c>
      <c r="F1072" s="8" t="s">
        <v>10</v>
      </c>
      <c r="G1072" s="8">
        <v>31.88</v>
      </c>
      <c r="H1072" s="10">
        <f t="shared" si="32"/>
        <v>4</v>
      </c>
      <c r="I1072" s="10">
        <f>YEAR(Sheet1!$A1072)</f>
        <v>2025</v>
      </c>
      <c r="J1072" s="10">
        <f>DAY(Sheet1!$A1072)</f>
        <v>17</v>
      </c>
      <c r="K1072" s="12" t="s">
        <v>2023</v>
      </c>
      <c r="L1072" s="13" t="str">
        <f t="shared" si="33"/>
        <v>Regular Customer</v>
      </c>
    </row>
    <row r="1073" spans="1:12" ht="15.75" customHeight="1" x14ac:dyDescent="0.3">
      <c r="A1073" s="14">
        <v>45582</v>
      </c>
      <c r="B1073" s="15" t="s">
        <v>57</v>
      </c>
      <c r="C1073" s="15" t="s">
        <v>13</v>
      </c>
      <c r="D1073" s="15" t="s">
        <v>19</v>
      </c>
      <c r="E1073" s="16">
        <v>10.65</v>
      </c>
      <c r="F1073" s="15" t="s">
        <v>10</v>
      </c>
      <c r="G1073" s="15">
        <v>31.95</v>
      </c>
      <c r="H1073" s="17">
        <f t="shared" si="32"/>
        <v>10</v>
      </c>
      <c r="I1073" s="17">
        <f>YEAR(Sheet1!$A1073)</f>
        <v>2024</v>
      </c>
      <c r="J1073" s="17">
        <f>DAY(Sheet1!$A1073)</f>
        <v>17</v>
      </c>
      <c r="K1073" s="18" t="s">
        <v>2022</v>
      </c>
      <c r="L1073" s="19" t="str">
        <f t="shared" si="33"/>
        <v>Regular Customer</v>
      </c>
    </row>
    <row r="1074" spans="1:12" ht="15.75" customHeight="1" x14ac:dyDescent="0.3">
      <c r="A1074" s="7">
        <v>45630</v>
      </c>
      <c r="B1074" s="8" t="s">
        <v>1493</v>
      </c>
      <c r="C1074" s="8" t="s">
        <v>18</v>
      </c>
      <c r="D1074" s="8" t="s">
        <v>19</v>
      </c>
      <c r="E1074" s="9">
        <v>15.98</v>
      </c>
      <c r="F1074" s="8" t="s">
        <v>10</v>
      </c>
      <c r="G1074" s="8">
        <v>31.96</v>
      </c>
      <c r="H1074" s="10">
        <f t="shared" si="32"/>
        <v>12</v>
      </c>
      <c r="I1074" s="10">
        <f>YEAR(Sheet1!$A1074)</f>
        <v>2024</v>
      </c>
      <c r="J1074" s="10">
        <f>DAY(Sheet1!$A1074)</f>
        <v>4</v>
      </c>
      <c r="K1074" s="12" t="s">
        <v>2022</v>
      </c>
      <c r="L1074" s="13" t="str">
        <f t="shared" si="33"/>
        <v>Regular Customer</v>
      </c>
    </row>
    <row r="1075" spans="1:12" ht="15.75" customHeight="1" x14ac:dyDescent="0.3">
      <c r="A1075" s="14">
        <v>45486</v>
      </c>
      <c r="B1075" s="15" t="s">
        <v>1043</v>
      </c>
      <c r="C1075" s="15" t="s">
        <v>18</v>
      </c>
      <c r="D1075" s="15" t="s">
        <v>9</v>
      </c>
      <c r="E1075" s="16">
        <v>10.71</v>
      </c>
      <c r="F1075" s="15" t="s">
        <v>10</v>
      </c>
      <c r="G1075" s="15">
        <v>32.130000000000003</v>
      </c>
      <c r="H1075" s="17">
        <f t="shared" si="32"/>
        <v>7</v>
      </c>
      <c r="I1075" s="17">
        <f>YEAR(Sheet1!$A1075)</f>
        <v>2024</v>
      </c>
      <c r="J1075" s="17">
        <f>DAY(Sheet1!$A1075)</f>
        <v>13</v>
      </c>
      <c r="K1075" s="18" t="s">
        <v>2023</v>
      </c>
      <c r="L1075" s="19" t="str">
        <f t="shared" si="33"/>
        <v>Regular Customer</v>
      </c>
    </row>
    <row r="1076" spans="1:12" ht="15.75" customHeight="1" x14ac:dyDescent="0.3">
      <c r="A1076" s="7">
        <v>45414</v>
      </c>
      <c r="B1076" s="8" t="s">
        <v>116</v>
      </c>
      <c r="C1076" s="8" t="s">
        <v>24</v>
      </c>
      <c r="D1076" s="8" t="s">
        <v>16</v>
      </c>
      <c r="E1076" s="9">
        <v>16.07</v>
      </c>
      <c r="F1076" s="8" t="s">
        <v>10</v>
      </c>
      <c r="G1076" s="8">
        <v>32.14</v>
      </c>
      <c r="H1076" s="10">
        <f t="shared" si="32"/>
        <v>5</v>
      </c>
      <c r="I1076" s="10">
        <f>YEAR(Sheet1!$A1076)</f>
        <v>2024</v>
      </c>
      <c r="J1076" s="10">
        <f>DAY(Sheet1!$A1076)</f>
        <v>2</v>
      </c>
      <c r="K1076" s="12" t="s">
        <v>2023</v>
      </c>
      <c r="L1076" s="13" t="str">
        <f t="shared" si="33"/>
        <v>Regular Customer</v>
      </c>
    </row>
    <row r="1077" spans="1:12" ht="15.75" customHeight="1" x14ac:dyDescent="0.3">
      <c r="A1077" s="14">
        <v>45573</v>
      </c>
      <c r="B1077" s="15" t="s">
        <v>1296</v>
      </c>
      <c r="C1077" s="15" t="s">
        <v>18</v>
      </c>
      <c r="D1077" s="15" t="s">
        <v>16</v>
      </c>
      <c r="E1077" s="16">
        <v>16.079999999999998</v>
      </c>
      <c r="F1077" s="15" t="s">
        <v>10</v>
      </c>
      <c r="G1077" s="15">
        <v>32.159999999999997</v>
      </c>
      <c r="H1077" s="17">
        <f t="shared" si="32"/>
        <v>10</v>
      </c>
      <c r="I1077" s="17">
        <f>YEAR(Sheet1!$A1077)</f>
        <v>2024</v>
      </c>
      <c r="J1077" s="17">
        <f>DAY(Sheet1!$A1077)</f>
        <v>8</v>
      </c>
      <c r="K1077" s="18" t="s">
        <v>2023</v>
      </c>
      <c r="L1077" s="19" t="str">
        <f t="shared" si="33"/>
        <v>Regular Customer</v>
      </c>
    </row>
    <row r="1078" spans="1:12" ht="15.75" customHeight="1" x14ac:dyDescent="0.3">
      <c r="A1078" s="7">
        <v>45593</v>
      </c>
      <c r="B1078" s="8" t="s">
        <v>400</v>
      </c>
      <c r="C1078" s="8" t="s">
        <v>24</v>
      </c>
      <c r="D1078" s="8" t="s">
        <v>14</v>
      </c>
      <c r="E1078" s="9">
        <v>16.09</v>
      </c>
      <c r="F1078" s="8" t="s">
        <v>11</v>
      </c>
      <c r="G1078" s="8">
        <v>32.18</v>
      </c>
      <c r="H1078" s="10">
        <f t="shared" si="32"/>
        <v>10</v>
      </c>
      <c r="I1078" s="10">
        <f>YEAR(Sheet1!$A1078)</f>
        <v>2024</v>
      </c>
      <c r="J1078" s="10">
        <f>DAY(Sheet1!$A1078)</f>
        <v>28</v>
      </c>
      <c r="K1078" s="12" t="s">
        <v>2022</v>
      </c>
      <c r="L1078" s="13" t="str">
        <f t="shared" si="33"/>
        <v>Regular Customer</v>
      </c>
    </row>
    <row r="1079" spans="1:12" ht="15.75" customHeight="1" x14ac:dyDescent="0.3">
      <c r="A1079" s="14">
        <v>45615</v>
      </c>
      <c r="B1079" s="15" t="s">
        <v>1555</v>
      </c>
      <c r="C1079" s="15" t="s">
        <v>13</v>
      </c>
      <c r="D1079" s="15" t="s">
        <v>9</v>
      </c>
      <c r="E1079" s="16">
        <v>16.09</v>
      </c>
      <c r="F1079" s="15" t="s">
        <v>10</v>
      </c>
      <c r="G1079" s="15">
        <v>32.18</v>
      </c>
      <c r="H1079" s="17">
        <f t="shared" si="32"/>
        <v>11</v>
      </c>
      <c r="I1079" s="17">
        <f>YEAR(Sheet1!$A1079)</f>
        <v>2024</v>
      </c>
      <c r="J1079" s="17">
        <f>DAY(Sheet1!$A1079)</f>
        <v>19</v>
      </c>
      <c r="K1079" s="18" t="s">
        <v>2023</v>
      </c>
      <c r="L1079" s="19" t="str">
        <f t="shared" si="33"/>
        <v>Regular Customer</v>
      </c>
    </row>
    <row r="1080" spans="1:12" ht="15.75" customHeight="1" x14ac:dyDescent="0.3">
      <c r="A1080" s="7">
        <v>45607</v>
      </c>
      <c r="B1080" s="8" t="s">
        <v>691</v>
      </c>
      <c r="C1080" s="8" t="s">
        <v>18</v>
      </c>
      <c r="D1080" s="8" t="s">
        <v>16</v>
      </c>
      <c r="E1080" s="9">
        <v>10.73</v>
      </c>
      <c r="F1080" s="8" t="s">
        <v>11</v>
      </c>
      <c r="G1080" s="8">
        <v>32.19</v>
      </c>
      <c r="H1080" s="10">
        <f t="shared" si="32"/>
        <v>11</v>
      </c>
      <c r="I1080" s="10">
        <f>YEAR(Sheet1!$A1080)</f>
        <v>2024</v>
      </c>
      <c r="J1080" s="10">
        <f>DAY(Sheet1!$A1080)</f>
        <v>11</v>
      </c>
      <c r="K1080" s="12" t="s">
        <v>2022</v>
      </c>
      <c r="L1080" s="13" t="str">
        <f t="shared" si="33"/>
        <v>Regular Customer</v>
      </c>
    </row>
    <row r="1081" spans="1:12" ht="15.75" customHeight="1" x14ac:dyDescent="0.3">
      <c r="A1081" s="14">
        <v>45414</v>
      </c>
      <c r="B1081" s="15" t="s">
        <v>397</v>
      </c>
      <c r="C1081" s="15" t="s">
        <v>8</v>
      </c>
      <c r="D1081" s="15" t="s">
        <v>19</v>
      </c>
      <c r="E1081" s="16">
        <v>16.11</v>
      </c>
      <c r="F1081" s="15" t="s">
        <v>11</v>
      </c>
      <c r="G1081" s="15">
        <v>32.22</v>
      </c>
      <c r="H1081" s="17">
        <f t="shared" si="32"/>
        <v>5</v>
      </c>
      <c r="I1081" s="17">
        <f>YEAR(Sheet1!$A1081)</f>
        <v>2024</v>
      </c>
      <c r="J1081" s="17">
        <f>DAY(Sheet1!$A1081)</f>
        <v>2</v>
      </c>
      <c r="K1081" s="18" t="s">
        <v>2023</v>
      </c>
      <c r="L1081" s="19" t="str">
        <f t="shared" si="33"/>
        <v>Regular Customer</v>
      </c>
    </row>
    <row r="1082" spans="1:12" ht="15.75" customHeight="1" x14ac:dyDescent="0.3">
      <c r="A1082" s="7">
        <v>45584</v>
      </c>
      <c r="B1082" s="8" t="s">
        <v>380</v>
      </c>
      <c r="C1082" s="8" t="s">
        <v>13</v>
      </c>
      <c r="D1082" s="8" t="s">
        <v>16</v>
      </c>
      <c r="E1082" s="9">
        <v>10.74</v>
      </c>
      <c r="F1082" s="8" t="s">
        <v>11</v>
      </c>
      <c r="G1082" s="8">
        <v>32.22</v>
      </c>
      <c r="H1082" s="10">
        <f t="shared" si="32"/>
        <v>10</v>
      </c>
      <c r="I1082" s="10">
        <f>YEAR(Sheet1!$A1082)</f>
        <v>2024</v>
      </c>
      <c r="J1082" s="10">
        <f>DAY(Sheet1!$A1082)</f>
        <v>19</v>
      </c>
      <c r="K1082" s="12" t="s">
        <v>2023</v>
      </c>
      <c r="L1082" s="13" t="str">
        <f t="shared" si="33"/>
        <v>Regular Customer</v>
      </c>
    </row>
    <row r="1083" spans="1:12" ht="15.75" customHeight="1" x14ac:dyDescent="0.3">
      <c r="A1083" s="14">
        <v>45708</v>
      </c>
      <c r="B1083" s="15" t="s">
        <v>1248</v>
      </c>
      <c r="C1083" s="15" t="s">
        <v>8</v>
      </c>
      <c r="D1083" s="15" t="s">
        <v>14</v>
      </c>
      <c r="E1083" s="16">
        <v>16.11</v>
      </c>
      <c r="F1083" s="15" t="s">
        <v>11</v>
      </c>
      <c r="G1083" s="15">
        <v>32.22</v>
      </c>
      <c r="H1083" s="17">
        <f t="shared" si="32"/>
        <v>2</v>
      </c>
      <c r="I1083" s="17">
        <f>YEAR(Sheet1!$A1083)</f>
        <v>2025</v>
      </c>
      <c r="J1083" s="17">
        <f>DAY(Sheet1!$A1083)</f>
        <v>20</v>
      </c>
      <c r="K1083" s="18" t="s">
        <v>2023</v>
      </c>
      <c r="L1083" s="19" t="str">
        <f t="shared" si="33"/>
        <v>Regular Customer</v>
      </c>
    </row>
    <row r="1084" spans="1:12" ht="15.75" customHeight="1" x14ac:dyDescent="0.3">
      <c r="A1084" s="7">
        <v>45545</v>
      </c>
      <c r="B1084" s="8" t="s">
        <v>994</v>
      </c>
      <c r="C1084" s="8" t="s">
        <v>13</v>
      </c>
      <c r="D1084" s="8" t="s">
        <v>14</v>
      </c>
      <c r="E1084" s="9">
        <v>16.12</v>
      </c>
      <c r="F1084" s="8" t="s">
        <v>10</v>
      </c>
      <c r="G1084" s="8">
        <v>32.24</v>
      </c>
      <c r="H1084" s="10">
        <f t="shared" si="32"/>
        <v>9</v>
      </c>
      <c r="I1084" s="10">
        <f>YEAR(Sheet1!$A1084)</f>
        <v>2024</v>
      </c>
      <c r="J1084" s="10">
        <f>DAY(Sheet1!$A1084)</f>
        <v>10</v>
      </c>
      <c r="K1084" s="12" t="s">
        <v>2023</v>
      </c>
      <c r="L1084" s="13" t="str">
        <f t="shared" si="33"/>
        <v>Regular Customer</v>
      </c>
    </row>
    <row r="1085" spans="1:12" ht="15.75" customHeight="1" x14ac:dyDescent="0.3">
      <c r="A1085" s="14">
        <v>45600</v>
      </c>
      <c r="B1085" s="15" t="s">
        <v>867</v>
      </c>
      <c r="C1085" s="15" t="s">
        <v>18</v>
      </c>
      <c r="D1085" s="15" t="s">
        <v>19</v>
      </c>
      <c r="E1085" s="16">
        <v>16.13</v>
      </c>
      <c r="F1085" s="15" t="s">
        <v>10</v>
      </c>
      <c r="G1085" s="15">
        <v>32.26</v>
      </c>
      <c r="H1085" s="17">
        <f t="shared" si="32"/>
        <v>11</v>
      </c>
      <c r="I1085" s="17">
        <f>YEAR(Sheet1!$A1085)</f>
        <v>2024</v>
      </c>
      <c r="J1085" s="17">
        <f>DAY(Sheet1!$A1085)</f>
        <v>4</v>
      </c>
      <c r="K1085" s="18" t="s">
        <v>2023</v>
      </c>
      <c r="L1085" s="19" t="str">
        <f t="shared" si="33"/>
        <v>Regular Customer</v>
      </c>
    </row>
    <row r="1086" spans="1:12" ht="15.75" customHeight="1" x14ac:dyDescent="0.3">
      <c r="A1086" s="7">
        <v>45531</v>
      </c>
      <c r="B1086" s="8" t="s">
        <v>196</v>
      </c>
      <c r="C1086" s="8" t="s">
        <v>24</v>
      </c>
      <c r="D1086" s="8" t="s">
        <v>19</v>
      </c>
      <c r="E1086" s="9">
        <v>10.78</v>
      </c>
      <c r="F1086" s="8" t="s">
        <v>11</v>
      </c>
      <c r="G1086" s="8">
        <v>32.340000000000003</v>
      </c>
      <c r="H1086" s="10">
        <f t="shared" si="32"/>
        <v>8</v>
      </c>
      <c r="I1086" s="10">
        <f>YEAR(Sheet1!$A1086)</f>
        <v>2024</v>
      </c>
      <c r="J1086" s="10">
        <f>DAY(Sheet1!$A1086)</f>
        <v>27</v>
      </c>
      <c r="K1086" s="12" t="s">
        <v>2022</v>
      </c>
      <c r="L1086" s="13" t="str">
        <f t="shared" si="33"/>
        <v>Regular Customer</v>
      </c>
    </row>
    <row r="1087" spans="1:12" ht="15.75" customHeight="1" x14ac:dyDescent="0.3">
      <c r="A1087" s="14">
        <v>45684</v>
      </c>
      <c r="B1087" s="15" t="s">
        <v>1456</v>
      </c>
      <c r="C1087" s="15" t="s">
        <v>13</v>
      </c>
      <c r="D1087" s="15" t="s">
        <v>9</v>
      </c>
      <c r="E1087" s="16">
        <v>16.18</v>
      </c>
      <c r="F1087" s="15" t="s">
        <v>10</v>
      </c>
      <c r="G1087" s="15">
        <v>32.36</v>
      </c>
      <c r="H1087" s="17">
        <f t="shared" si="32"/>
        <v>1</v>
      </c>
      <c r="I1087" s="17">
        <f>YEAR(Sheet1!$A1087)</f>
        <v>2025</v>
      </c>
      <c r="J1087" s="17">
        <f>DAY(Sheet1!$A1087)</f>
        <v>27</v>
      </c>
      <c r="K1087" s="18" t="s">
        <v>2022</v>
      </c>
      <c r="L1087" s="19" t="str">
        <f t="shared" si="33"/>
        <v>Regular Customer</v>
      </c>
    </row>
    <row r="1088" spans="1:12" ht="15.75" customHeight="1" x14ac:dyDescent="0.3">
      <c r="A1088" s="7">
        <v>45693</v>
      </c>
      <c r="B1088" s="8" t="s">
        <v>20</v>
      </c>
      <c r="C1088" s="8" t="s">
        <v>13</v>
      </c>
      <c r="D1088" s="8" t="s">
        <v>9</v>
      </c>
      <c r="E1088" s="9">
        <v>16.18</v>
      </c>
      <c r="F1088" s="8" t="s">
        <v>10</v>
      </c>
      <c r="G1088" s="8">
        <v>32.36</v>
      </c>
      <c r="H1088" s="10">
        <f t="shared" si="32"/>
        <v>2</v>
      </c>
      <c r="I1088" s="10">
        <f>YEAR(Sheet1!$A1088)</f>
        <v>2025</v>
      </c>
      <c r="J1088" s="10">
        <f>DAY(Sheet1!$A1088)</f>
        <v>5</v>
      </c>
      <c r="K1088" s="12" t="s">
        <v>2023</v>
      </c>
      <c r="L1088" s="13" t="str">
        <f t="shared" si="33"/>
        <v>Regular Customer</v>
      </c>
    </row>
    <row r="1089" spans="1:12" ht="15.75" customHeight="1" x14ac:dyDescent="0.3">
      <c r="A1089" s="14">
        <v>45694</v>
      </c>
      <c r="B1089" s="15" t="s">
        <v>1553</v>
      </c>
      <c r="C1089" s="15" t="s">
        <v>8</v>
      </c>
      <c r="D1089" s="15" t="s">
        <v>14</v>
      </c>
      <c r="E1089" s="16">
        <v>16.190000000000001</v>
      </c>
      <c r="F1089" s="15" t="s">
        <v>10</v>
      </c>
      <c r="G1089" s="15">
        <v>32.380000000000003</v>
      </c>
      <c r="H1089" s="17">
        <f t="shared" si="32"/>
        <v>2</v>
      </c>
      <c r="I1089" s="17">
        <f>YEAR(Sheet1!$A1089)</f>
        <v>2025</v>
      </c>
      <c r="J1089" s="17">
        <f>DAY(Sheet1!$A1089)</f>
        <v>6</v>
      </c>
      <c r="K1089" s="18" t="s">
        <v>2022</v>
      </c>
      <c r="L1089" s="19" t="str">
        <f t="shared" si="33"/>
        <v>Regular Customer</v>
      </c>
    </row>
    <row r="1090" spans="1:12" ht="15.75" customHeight="1" x14ac:dyDescent="0.3">
      <c r="A1090" s="7">
        <v>45459</v>
      </c>
      <c r="B1090" s="8" t="s">
        <v>79</v>
      </c>
      <c r="C1090" s="8" t="s">
        <v>13</v>
      </c>
      <c r="D1090" s="8" t="s">
        <v>19</v>
      </c>
      <c r="E1090" s="9">
        <v>10.83</v>
      </c>
      <c r="F1090" s="8" t="s">
        <v>10</v>
      </c>
      <c r="G1090" s="8">
        <v>32.49</v>
      </c>
      <c r="H1090" s="10">
        <f t="shared" ref="H1090:H1153" si="34">MONTH(A1090)</f>
        <v>6</v>
      </c>
      <c r="I1090" s="10">
        <f>YEAR(Sheet1!$A1090)</f>
        <v>2024</v>
      </c>
      <c r="J1090" s="10">
        <f>DAY(Sheet1!$A1090)</f>
        <v>16</v>
      </c>
      <c r="K1090" s="12" t="s">
        <v>2022</v>
      </c>
      <c r="L1090" s="13" t="str">
        <f t="shared" ref="L1090:L1153" si="35">IF(G1090&gt;50,"Premium Customer","Regular Customer")</f>
        <v>Regular Customer</v>
      </c>
    </row>
    <row r="1091" spans="1:12" ht="15.75" customHeight="1" x14ac:dyDescent="0.3">
      <c r="A1091" s="14">
        <v>45717</v>
      </c>
      <c r="B1091" s="15" t="s">
        <v>683</v>
      </c>
      <c r="C1091" s="15" t="s">
        <v>13</v>
      </c>
      <c r="D1091" s="15" t="s">
        <v>16</v>
      </c>
      <c r="E1091" s="16">
        <v>10.9</v>
      </c>
      <c r="F1091" s="15" t="s">
        <v>11</v>
      </c>
      <c r="G1091" s="15">
        <v>32.700000000000003</v>
      </c>
      <c r="H1091" s="17">
        <f t="shared" si="34"/>
        <v>3</v>
      </c>
      <c r="I1091" s="17">
        <f>YEAR(Sheet1!$A1091)</f>
        <v>2025</v>
      </c>
      <c r="J1091" s="17">
        <f>DAY(Sheet1!$A1091)</f>
        <v>1</v>
      </c>
      <c r="K1091" s="18" t="s">
        <v>2023</v>
      </c>
      <c r="L1091" s="19" t="str">
        <f t="shared" si="35"/>
        <v>Regular Customer</v>
      </c>
    </row>
    <row r="1092" spans="1:12" ht="15.75" customHeight="1" x14ac:dyDescent="0.3">
      <c r="A1092" s="7">
        <v>45416</v>
      </c>
      <c r="B1092" s="8" t="s">
        <v>1184</v>
      </c>
      <c r="C1092" s="8" t="s">
        <v>24</v>
      </c>
      <c r="D1092" s="8" t="s">
        <v>16</v>
      </c>
      <c r="E1092" s="9">
        <v>16.41</v>
      </c>
      <c r="F1092" s="8" t="s">
        <v>11</v>
      </c>
      <c r="G1092" s="8">
        <v>32.82</v>
      </c>
      <c r="H1092" s="10">
        <f t="shared" si="34"/>
        <v>5</v>
      </c>
      <c r="I1092" s="10">
        <f>YEAR(Sheet1!$A1092)</f>
        <v>2024</v>
      </c>
      <c r="J1092" s="10">
        <f>DAY(Sheet1!$A1092)</f>
        <v>4</v>
      </c>
      <c r="K1092" s="12" t="s">
        <v>2022</v>
      </c>
      <c r="L1092" s="13" t="str">
        <f t="shared" si="35"/>
        <v>Regular Customer</v>
      </c>
    </row>
    <row r="1093" spans="1:12" ht="15.75" customHeight="1" x14ac:dyDescent="0.3">
      <c r="A1093" s="14">
        <v>45655</v>
      </c>
      <c r="B1093" s="15" t="s">
        <v>1297</v>
      </c>
      <c r="C1093" s="15" t="s">
        <v>8</v>
      </c>
      <c r="D1093" s="15" t="s">
        <v>9</v>
      </c>
      <c r="E1093" s="16">
        <v>10.95</v>
      </c>
      <c r="F1093" s="15" t="s">
        <v>10</v>
      </c>
      <c r="G1093" s="15">
        <v>32.85</v>
      </c>
      <c r="H1093" s="17">
        <f t="shared" si="34"/>
        <v>12</v>
      </c>
      <c r="I1093" s="17">
        <f>YEAR(Sheet1!$A1093)</f>
        <v>2024</v>
      </c>
      <c r="J1093" s="17">
        <f>DAY(Sheet1!$A1093)</f>
        <v>29</v>
      </c>
      <c r="K1093" s="18" t="s">
        <v>2023</v>
      </c>
      <c r="L1093" s="19" t="str">
        <f t="shared" si="35"/>
        <v>Regular Customer</v>
      </c>
    </row>
    <row r="1094" spans="1:12" ht="15.75" customHeight="1" x14ac:dyDescent="0.3">
      <c r="A1094" s="7">
        <v>45690</v>
      </c>
      <c r="B1094" s="8" t="s">
        <v>577</v>
      </c>
      <c r="C1094" s="8" t="s">
        <v>18</v>
      </c>
      <c r="D1094" s="8" t="s">
        <v>9</v>
      </c>
      <c r="E1094" s="9">
        <v>10.96</v>
      </c>
      <c r="F1094" s="8" t="s">
        <v>10</v>
      </c>
      <c r="G1094" s="8">
        <v>32.880000000000003</v>
      </c>
      <c r="H1094" s="10">
        <f t="shared" si="34"/>
        <v>2</v>
      </c>
      <c r="I1094" s="10">
        <f>YEAR(Sheet1!$A1094)</f>
        <v>2025</v>
      </c>
      <c r="J1094" s="10">
        <f>DAY(Sheet1!$A1094)</f>
        <v>2</v>
      </c>
      <c r="K1094" s="12" t="s">
        <v>2023</v>
      </c>
      <c r="L1094" s="13" t="str">
        <f t="shared" si="35"/>
        <v>Regular Customer</v>
      </c>
    </row>
    <row r="1095" spans="1:12" ht="15.75" customHeight="1" x14ac:dyDescent="0.3">
      <c r="A1095" s="14">
        <v>45707</v>
      </c>
      <c r="B1095" s="15" t="s">
        <v>997</v>
      </c>
      <c r="C1095" s="15" t="s">
        <v>8</v>
      </c>
      <c r="D1095" s="15" t="s">
        <v>9</v>
      </c>
      <c r="E1095" s="16">
        <v>16.440000000000001</v>
      </c>
      <c r="F1095" s="15" t="s">
        <v>11</v>
      </c>
      <c r="G1095" s="15">
        <v>32.880000000000003</v>
      </c>
      <c r="H1095" s="17">
        <f t="shared" si="34"/>
        <v>2</v>
      </c>
      <c r="I1095" s="17">
        <f>YEAR(Sheet1!$A1095)</f>
        <v>2025</v>
      </c>
      <c r="J1095" s="17">
        <f>DAY(Sheet1!$A1095)</f>
        <v>19</v>
      </c>
      <c r="K1095" s="18" t="s">
        <v>2023</v>
      </c>
      <c r="L1095" s="19" t="str">
        <f t="shared" si="35"/>
        <v>Regular Customer</v>
      </c>
    </row>
    <row r="1096" spans="1:12" ht="15.75" customHeight="1" x14ac:dyDescent="0.3">
      <c r="A1096" s="7">
        <v>45503</v>
      </c>
      <c r="B1096" s="8" t="s">
        <v>1325</v>
      </c>
      <c r="C1096" s="8" t="s">
        <v>8</v>
      </c>
      <c r="D1096" s="8" t="s">
        <v>16</v>
      </c>
      <c r="E1096" s="9">
        <v>16.48</v>
      </c>
      <c r="F1096" s="8" t="s">
        <v>11</v>
      </c>
      <c r="G1096" s="8">
        <v>32.96</v>
      </c>
      <c r="H1096" s="10">
        <f t="shared" si="34"/>
        <v>7</v>
      </c>
      <c r="I1096" s="10">
        <f>YEAR(Sheet1!$A1096)</f>
        <v>2024</v>
      </c>
      <c r="J1096" s="10">
        <f>DAY(Sheet1!$A1096)</f>
        <v>30</v>
      </c>
      <c r="K1096" s="12" t="s">
        <v>2023</v>
      </c>
      <c r="L1096" s="13" t="str">
        <f t="shared" si="35"/>
        <v>Regular Customer</v>
      </c>
    </row>
    <row r="1097" spans="1:12" ht="15.75" customHeight="1" x14ac:dyDescent="0.3">
      <c r="A1097" s="14">
        <v>45777</v>
      </c>
      <c r="B1097" s="15" t="s">
        <v>1270</v>
      </c>
      <c r="C1097" s="15" t="s">
        <v>24</v>
      </c>
      <c r="D1097" s="15" t="s">
        <v>14</v>
      </c>
      <c r="E1097" s="16">
        <v>16.489999999999998</v>
      </c>
      <c r="F1097" s="15" t="s">
        <v>11</v>
      </c>
      <c r="G1097" s="15">
        <v>32.979999999999997</v>
      </c>
      <c r="H1097" s="17">
        <f t="shared" si="34"/>
        <v>4</v>
      </c>
      <c r="I1097" s="17">
        <f>YEAR(Sheet1!$A1097)</f>
        <v>2025</v>
      </c>
      <c r="J1097" s="17">
        <f>DAY(Sheet1!$A1097)</f>
        <v>30</v>
      </c>
      <c r="K1097" s="18" t="s">
        <v>2022</v>
      </c>
      <c r="L1097" s="19" t="str">
        <f t="shared" si="35"/>
        <v>Regular Customer</v>
      </c>
    </row>
    <row r="1098" spans="1:12" ht="15.75" customHeight="1" x14ac:dyDescent="0.3">
      <c r="A1098" s="7">
        <v>45550</v>
      </c>
      <c r="B1098" s="8" t="s">
        <v>1062</v>
      </c>
      <c r="C1098" s="8" t="s">
        <v>8</v>
      </c>
      <c r="D1098" s="8" t="s">
        <v>9</v>
      </c>
      <c r="E1098" s="9">
        <v>11</v>
      </c>
      <c r="F1098" s="8" t="s">
        <v>10</v>
      </c>
      <c r="G1098" s="8">
        <v>33</v>
      </c>
      <c r="H1098" s="10">
        <f t="shared" si="34"/>
        <v>9</v>
      </c>
      <c r="I1098" s="10">
        <f>YEAR(Sheet1!$A1098)</f>
        <v>2024</v>
      </c>
      <c r="J1098" s="10">
        <f>DAY(Sheet1!$A1098)</f>
        <v>15</v>
      </c>
      <c r="K1098" s="12" t="s">
        <v>2023</v>
      </c>
      <c r="L1098" s="13" t="str">
        <f t="shared" si="35"/>
        <v>Regular Customer</v>
      </c>
    </row>
    <row r="1099" spans="1:12" ht="15.75" customHeight="1" x14ac:dyDescent="0.3">
      <c r="A1099" s="14">
        <v>45624</v>
      </c>
      <c r="B1099" s="15" t="s">
        <v>460</v>
      </c>
      <c r="C1099" s="15" t="s">
        <v>8</v>
      </c>
      <c r="D1099" s="15" t="s">
        <v>19</v>
      </c>
      <c r="E1099" s="16">
        <v>11.01</v>
      </c>
      <c r="F1099" s="15" t="s">
        <v>11</v>
      </c>
      <c r="G1099" s="15">
        <v>33.03</v>
      </c>
      <c r="H1099" s="17">
        <f t="shared" si="34"/>
        <v>11</v>
      </c>
      <c r="I1099" s="17">
        <f>YEAR(Sheet1!$A1099)</f>
        <v>2024</v>
      </c>
      <c r="J1099" s="17">
        <f>DAY(Sheet1!$A1099)</f>
        <v>28</v>
      </c>
      <c r="K1099" s="18" t="s">
        <v>2022</v>
      </c>
      <c r="L1099" s="19" t="str">
        <f t="shared" si="35"/>
        <v>Regular Customer</v>
      </c>
    </row>
    <row r="1100" spans="1:12" ht="15.75" customHeight="1" x14ac:dyDescent="0.3">
      <c r="A1100" s="7">
        <v>45564</v>
      </c>
      <c r="B1100" s="8" t="s">
        <v>168</v>
      </c>
      <c r="C1100" s="8" t="s">
        <v>8</v>
      </c>
      <c r="D1100" s="8" t="s">
        <v>9</v>
      </c>
      <c r="E1100" s="9">
        <v>11.02</v>
      </c>
      <c r="F1100" s="8" t="s">
        <v>11</v>
      </c>
      <c r="G1100" s="8">
        <v>33.06</v>
      </c>
      <c r="H1100" s="10">
        <f t="shared" si="34"/>
        <v>9</v>
      </c>
      <c r="I1100" s="10">
        <f>YEAR(Sheet1!$A1100)</f>
        <v>2024</v>
      </c>
      <c r="J1100" s="10">
        <f>DAY(Sheet1!$A1100)</f>
        <v>29</v>
      </c>
      <c r="K1100" s="12" t="s">
        <v>2023</v>
      </c>
      <c r="L1100" s="13" t="str">
        <f t="shared" si="35"/>
        <v>Regular Customer</v>
      </c>
    </row>
    <row r="1101" spans="1:12" ht="15.75" customHeight="1" x14ac:dyDescent="0.3">
      <c r="A1101" s="14">
        <v>45449</v>
      </c>
      <c r="B1101" s="15" t="s">
        <v>1779</v>
      </c>
      <c r="C1101" s="15" t="s">
        <v>24</v>
      </c>
      <c r="D1101" s="15" t="s">
        <v>19</v>
      </c>
      <c r="E1101" s="16">
        <v>16.559999999999999</v>
      </c>
      <c r="F1101" s="15" t="s">
        <v>10</v>
      </c>
      <c r="G1101" s="15">
        <v>33.119999999999997</v>
      </c>
      <c r="H1101" s="17">
        <f t="shared" si="34"/>
        <v>6</v>
      </c>
      <c r="I1101" s="17">
        <f>YEAR(Sheet1!$A1101)</f>
        <v>2024</v>
      </c>
      <c r="J1101" s="17">
        <f>DAY(Sheet1!$A1101)</f>
        <v>6</v>
      </c>
      <c r="K1101" s="18" t="s">
        <v>2023</v>
      </c>
      <c r="L1101" s="19" t="str">
        <f t="shared" si="35"/>
        <v>Regular Customer</v>
      </c>
    </row>
    <row r="1102" spans="1:12" ht="15.75" customHeight="1" x14ac:dyDescent="0.3">
      <c r="A1102" s="7">
        <v>45636</v>
      </c>
      <c r="B1102" s="8" t="s">
        <v>932</v>
      </c>
      <c r="C1102" s="8" t="s">
        <v>24</v>
      </c>
      <c r="D1102" s="8" t="s">
        <v>19</v>
      </c>
      <c r="E1102" s="9">
        <v>16.59</v>
      </c>
      <c r="F1102" s="8" t="s">
        <v>10</v>
      </c>
      <c r="G1102" s="8">
        <v>33.18</v>
      </c>
      <c r="H1102" s="10">
        <f t="shared" si="34"/>
        <v>12</v>
      </c>
      <c r="I1102" s="10">
        <f>YEAR(Sheet1!$A1102)</f>
        <v>2024</v>
      </c>
      <c r="J1102" s="10">
        <f>DAY(Sheet1!$A1102)</f>
        <v>10</v>
      </c>
      <c r="K1102" s="12" t="s">
        <v>2023</v>
      </c>
      <c r="L1102" s="13" t="str">
        <f t="shared" si="35"/>
        <v>Regular Customer</v>
      </c>
    </row>
    <row r="1103" spans="1:12" ht="15.75" customHeight="1" x14ac:dyDescent="0.3">
      <c r="A1103" s="14">
        <v>45659</v>
      </c>
      <c r="B1103" s="15" t="s">
        <v>497</v>
      </c>
      <c r="C1103" s="15" t="s">
        <v>24</v>
      </c>
      <c r="D1103" s="15" t="s">
        <v>14</v>
      </c>
      <c r="E1103" s="16">
        <v>16.71</v>
      </c>
      <c r="F1103" s="15" t="s">
        <v>10</v>
      </c>
      <c r="G1103" s="15">
        <v>33.42</v>
      </c>
      <c r="H1103" s="17">
        <f t="shared" si="34"/>
        <v>1</v>
      </c>
      <c r="I1103" s="17">
        <f>YEAR(Sheet1!$A1103)</f>
        <v>2025</v>
      </c>
      <c r="J1103" s="17">
        <f>DAY(Sheet1!$A1103)</f>
        <v>2</v>
      </c>
      <c r="K1103" s="18" t="s">
        <v>2022</v>
      </c>
      <c r="L1103" s="19" t="str">
        <f t="shared" si="35"/>
        <v>Regular Customer</v>
      </c>
    </row>
    <row r="1104" spans="1:12" ht="15.75" customHeight="1" x14ac:dyDescent="0.3">
      <c r="A1104" s="7">
        <v>45742</v>
      </c>
      <c r="B1104" s="8" t="s">
        <v>1536</v>
      </c>
      <c r="C1104" s="8" t="s">
        <v>18</v>
      </c>
      <c r="D1104" s="8" t="s">
        <v>14</v>
      </c>
      <c r="E1104" s="9">
        <v>16.760000000000002</v>
      </c>
      <c r="F1104" s="8" t="s">
        <v>10</v>
      </c>
      <c r="G1104" s="8">
        <v>33.520000000000003</v>
      </c>
      <c r="H1104" s="10">
        <f t="shared" si="34"/>
        <v>3</v>
      </c>
      <c r="I1104" s="10">
        <f>YEAR(Sheet1!$A1104)</f>
        <v>2025</v>
      </c>
      <c r="J1104" s="10">
        <f>DAY(Sheet1!$A1104)</f>
        <v>26</v>
      </c>
      <c r="K1104" s="12" t="s">
        <v>2023</v>
      </c>
      <c r="L1104" s="13" t="str">
        <f t="shared" si="35"/>
        <v>Regular Customer</v>
      </c>
    </row>
    <row r="1105" spans="1:12" ht="15.75" customHeight="1" x14ac:dyDescent="0.3">
      <c r="A1105" s="14">
        <v>45539</v>
      </c>
      <c r="B1105" s="15" t="s">
        <v>376</v>
      </c>
      <c r="C1105" s="15" t="s">
        <v>8</v>
      </c>
      <c r="D1105" s="15" t="s">
        <v>9</v>
      </c>
      <c r="E1105" s="16">
        <v>16.78</v>
      </c>
      <c r="F1105" s="15" t="s">
        <v>10</v>
      </c>
      <c r="G1105" s="15">
        <v>33.56</v>
      </c>
      <c r="H1105" s="17">
        <f t="shared" si="34"/>
        <v>9</v>
      </c>
      <c r="I1105" s="17">
        <f>YEAR(Sheet1!$A1105)</f>
        <v>2024</v>
      </c>
      <c r="J1105" s="17">
        <f>DAY(Sheet1!$A1105)</f>
        <v>4</v>
      </c>
      <c r="K1105" s="18" t="s">
        <v>2022</v>
      </c>
      <c r="L1105" s="19" t="str">
        <f t="shared" si="35"/>
        <v>Regular Customer</v>
      </c>
    </row>
    <row r="1106" spans="1:12" ht="15.75" customHeight="1" x14ac:dyDescent="0.3">
      <c r="A1106" s="7">
        <v>45679</v>
      </c>
      <c r="B1106" s="8" t="s">
        <v>1695</v>
      </c>
      <c r="C1106" s="8" t="s">
        <v>13</v>
      </c>
      <c r="D1106" s="8" t="s">
        <v>9</v>
      </c>
      <c r="E1106" s="9">
        <v>11.19</v>
      </c>
      <c r="F1106" s="8" t="s">
        <v>10</v>
      </c>
      <c r="G1106" s="8">
        <v>33.57</v>
      </c>
      <c r="H1106" s="10">
        <f t="shared" si="34"/>
        <v>1</v>
      </c>
      <c r="I1106" s="10">
        <f>YEAR(Sheet1!$A1106)</f>
        <v>2025</v>
      </c>
      <c r="J1106" s="10">
        <f>DAY(Sheet1!$A1106)</f>
        <v>22</v>
      </c>
      <c r="K1106" s="12" t="s">
        <v>2022</v>
      </c>
      <c r="L1106" s="13" t="str">
        <f t="shared" si="35"/>
        <v>Regular Customer</v>
      </c>
    </row>
    <row r="1107" spans="1:12" ht="15.75" customHeight="1" x14ac:dyDescent="0.3">
      <c r="A1107" s="14">
        <v>45581</v>
      </c>
      <c r="B1107" s="15" t="s">
        <v>731</v>
      </c>
      <c r="C1107" s="15" t="s">
        <v>13</v>
      </c>
      <c r="D1107" s="15" t="s">
        <v>9</v>
      </c>
      <c r="E1107" s="16">
        <v>16.79</v>
      </c>
      <c r="F1107" s="15" t="s">
        <v>10</v>
      </c>
      <c r="G1107" s="15">
        <v>33.58</v>
      </c>
      <c r="H1107" s="17">
        <f t="shared" si="34"/>
        <v>10</v>
      </c>
      <c r="I1107" s="17">
        <f>YEAR(Sheet1!$A1107)</f>
        <v>2024</v>
      </c>
      <c r="J1107" s="17">
        <f>DAY(Sheet1!$A1107)</f>
        <v>16</v>
      </c>
      <c r="K1107" s="18" t="s">
        <v>2023</v>
      </c>
      <c r="L1107" s="19" t="str">
        <f t="shared" si="35"/>
        <v>Regular Customer</v>
      </c>
    </row>
    <row r="1108" spans="1:12" ht="15.75" customHeight="1" x14ac:dyDescent="0.3">
      <c r="A1108" s="7">
        <v>45724</v>
      </c>
      <c r="B1108" s="8" t="s">
        <v>470</v>
      </c>
      <c r="C1108" s="8" t="s">
        <v>24</v>
      </c>
      <c r="D1108" s="8" t="s">
        <v>14</v>
      </c>
      <c r="E1108" s="9">
        <v>16.84</v>
      </c>
      <c r="F1108" s="8" t="s">
        <v>11</v>
      </c>
      <c r="G1108" s="8">
        <v>33.68</v>
      </c>
      <c r="H1108" s="10">
        <f t="shared" si="34"/>
        <v>3</v>
      </c>
      <c r="I1108" s="10">
        <f>YEAR(Sheet1!$A1108)</f>
        <v>2025</v>
      </c>
      <c r="J1108" s="10">
        <f>DAY(Sheet1!$A1108)</f>
        <v>8</v>
      </c>
      <c r="K1108" s="12" t="s">
        <v>2022</v>
      </c>
      <c r="L1108" s="13" t="str">
        <f t="shared" si="35"/>
        <v>Regular Customer</v>
      </c>
    </row>
    <row r="1109" spans="1:12" ht="15.75" customHeight="1" x14ac:dyDescent="0.3">
      <c r="A1109" s="14">
        <v>45568</v>
      </c>
      <c r="B1109" s="15" t="s">
        <v>1932</v>
      </c>
      <c r="C1109" s="15" t="s">
        <v>8</v>
      </c>
      <c r="D1109" s="15" t="s">
        <v>14</v>
      </c>
      <c r="E1109" s="16">
        <v>16.86</v>
      </c>
      <c r="F1109" s="15" t="s">
        <v>10</v>
      </c>
      <c r="G1109" s="15">
        <v>33.72</v>
      </c>
      <c r="H1109" s="17">
        <f t="shared" si="34"/>
        <v>10</v>
      </c>
      <c r="I1109" s="17">
        <f>YEAR(Sheet1!$A1109)</f>
        <v>2024</v>
      </c>
      <c r="J1109" s="17">
        <f>DAY(Sheet1!$A1109)</f>
        <v>3</v>
      </c>
      <c r="K1109" s="18" t="s">
        <v>2023</v>
      </c>
      <c r="L1109" s="19" t="str">
        <f t="shared" si="35"/>
        <v>Regular Customer</v>
      </c>
    </row>
    <row r="1110" spans="1:12" ht="15.75" customHeight="1" x14ac:dyDescent="0.3">
      <c r="A1110" s="7">
        <v>45485</v>
      </c>
      <c r="B1110" s="8" t="s">
        <v>1454</v>
      </c>
      <c r="C1110" s="8" t="s">
        <v>13</v>
      </c>
      <c r="D1110" s="8" t="s">
        <v>9</v>
      </c>
      <c r="E1110" s="9">
        <v>16.87</v>
      </c>
      <c r="F1110" s="8" t="s">
        <v>11</v>
      </c>
      <c r="G1110" s="8">
        <v>33.74</v>
      </c>
      <c r="H1110" s="10">
        <f t="shared" si="34"/>
        <v>7</v>
      </c>
      <c r="I1110" s="10">
        <f>YEAR(Sheet1!$A1110)</f>
        <v>2024</v>
      </c>
      <c r="J1110" s="10">
        <f>DAY(Sheet1!$A1110)</f>
        <v>12</v>
      </c>
      <c r="K1110" s="12" t="s">
        <v>2022</v>
      </c>
      <c r="L1110" s="13" t="str">
        <f t="shared" si="35"/>
        <v>Regular Customer</v>
      </c>
    </row>
    <row r="1111" spans="1:12" ht="15.75" customHeight="1" x14ac:dyDescent="0.3">
      <c r="A1111" s="14">
        <v>45650</v>
      </c>
      <c r="B1111" s="15" t="s">
        <v>1326</v>
      </c>
      <c r="C1111" s="15" t="s">
        <v>8</v>
      </c>
      <c r="D1111" s="15" t="s">
        <v>19</v>
      </c>
      <c r="E1111" s="16">
        <v>11.26</v>
      </c>
      <c r="F1111" s="15" t="s">
        <v>11</v>
      </c>
      <c r="G1111" s="15">
        <v>33.78</v>
      </c>
      <c r="H1111" s="17">
        <f t="shared" si="34"/>
        <v>12</v>
      </c>
      <c r="I1111" s="17">
        <f>YEAR(Sheet1!$A1111)</f>
        <v>2024</v>
      </c>
      <c r="J1111" s="17">
        <f>DAY(Sheet1!$A1111)</f>
        <v>24</v>
      </c>
      <c r="K1111" s="18" t="s">
        <v>2023</v>
      </c>
      <c r="L1111" s="19" t="str">
        <f t="shared" si="35"/>
        <v>Regular Customer</v>
      </c>
    </row>
    <row r="1112" spans="1:12" ht="15.75" customHeight="1" x14ac:dyDescent="0.3">
      <c r="A1112" s="7">
        <v>45456</v>
      </c>
      <c r="B1112" s="8" t="s">
        <v>1369</v>
      </c>
      <c r="C1112" s="8" t="s">
        <v>18</v>
      </c>
      <c r="D1112" s="8" t="s">
        <v>9</v>
      </c>
      <c r="E1112" s="9">
        <v>16.91</v>
      </c>
      <c r="F1112" s="8" t="s">
        <v>10</v>
      </c>
      <c r="G1112" s="8">
        <v>33.82</v>
      </c>
      <c r="H1112" s="10">
        <f t="shared" si="34"/>
        <v>6</v>
      </c>
      <c r="I1112" s="10">
        <f>YEAR(Sheet1!$A1112)</f>
        <v>2024</v>
      </c>
      <c r="J1112" s="10">
        <f>DAY(Sheet1!$A1112)</f>
        <v>13</v>
      </c>
      <c r="K1112" s="12" t="s">
        <v>2022</v>
      </c>
      <c r="L1112" s="13" t="str">
        <f t="shared" si="35"/>
        <v>Regular Customer</v>
      </c>
    </row>
    <row r="1113" spans="1:12" ht="15.75" customHeight="1" x14ac:dyDescent="0.3">
      <c r="A1113" s="14">
        <v>45447</v>
      </c>
      <c r="B1113" s="15" t="s">
        <v>800</v>
      </c>
      <c r="C1113" s="15" t="s">
        <v>8</v>
      </c>
      <c r="D1113" s="15" t="s">
        <v>9</v>
      </c>
      <c r="E1113" s="16">
        <v>16.93</v>
      </c>
      <c r="F1113" s="15" t="s">
        <v>11</v>
      </c>
      <c r="G1113" s="15">
        <v>33.86</v>
      </c>
      <c r="H1113" s="17">
        <f t="shared" si="34"/>
        <v>6</v>
      </c>
      <c r="I1113" s="17">
        <f>YEAR(Sheet1!$A1113)</f>
        <v>2024</v>
      </c>
      <c r="J1113" s="17">
        <f>DAY(Sheet1!$A1113)</f>
        <v>4</v>
      </c>
      <c r="K1113" s="18" t="s">
        <v>2022</v>
      </c>
      <c r="L1113" s="19" t="str">
        <f t="shared" si="35"/>
        <v>Regular Customer</v>
      </c>
    </row>
    <row r="1114" spans="1:12" ht="15.75" customHeight="1" x14ac:dyDescent="0.3">
      <c r="A1114" s="7">
        <v>45443</v>
      </c>
      <c r="B1114" s="8" t="s">
        <v>428</v>
      </c>
      <c r="C1114" s="8" t="s">
        <v>13</v>
      </c>
      <c r="D1114" s="8" t="s">
        <v>14</v>
      </c>
      <c r="E1114" s="9">
        <v>16.940000000000001</v>
      </c>
      <c r="F1114" s="8" t="s">
        <v>10</v>
      </c>
      <c r="G1114" s="8">
        <v>33.880000000000003</v>
      </c>
      <c r="H1114" s="10">
        <f t="shared" si="34"/>
        <v>5</v>
      </c>
      <c r="I1114" s="10">
        <f>YEAR(Sheet1!$A1114)</f>
        <v>2024</v>
      </c>
      <c r="J1114" s="10">
        <f>DAY(Sheet1!$A1114)</f>
        <v>31</v>
      </c>
      <c r="K1114" s="12" t="s">
        <v>2022</v>
      </c>
      <c r="L1114" s="13" t="str">
        <f t="shared" si="35"/>
        <v>Regular Customer</v>
      </c>
    </row>
    <row r="1115" spans="1:12" ht="15.75" customHeight="1" x14ac:dyDescent="0.3">
      <c r="A1115" s="14">
        <v>45773</v>
      </c>
      <c r="B1115" s="15" t="s">
        <v>50</v>
      </c>
      <c r="C1115" s="15" t="s">
        <v>13</v>
      </c>
      <c r="D1115" s="15" t="s">
        <v>14</v>
      </c>
      <c r="E1115" s="16">
        <v>16.940000000000001</v>
      </c>
      <c r="F1115" s="15" t="s">
        <v>11</v>
      </c>
      <c r="G1115" s="15">
        <v>33.880000000000003</v>
      </c>
      <c r="H1115" s="17">
        <f t="shared" si="34"/>
        <v>4</v>
      </c>
      <c r="I1115" s="17">
        <f>YEAR(Sheet1!$A1115)</f>
        <v>2025</v>
      </c>
      <c r="J1115" s="17">
        <f>DAY(Sheet1!$A1115)</f>
        <v>26</v>
      </c>
      <c r="K1115" s="18" t="s">
        <v>2023</v>
      </c>
      <c r="L1115" s="19" t="str">
        <f t="shared" si="35"/>
        <v>Regular Customer</v>
      </c>
    </row>
    <row r="1116" spans="1:12" ht="15.75" customHeight="1" x14ac:dyDescent="0.3">
      <c r="A1116" s="7">
        <v>45662</v>
      </c>
      <c r="B1116" s="8" t="s">
        <v>1507</v>
      </c>
      <c r="C1116" s="8" t="s">
        <v>24</v>
      </c>
      <c r="D1116" s="8" t="s">
        <v>9</v>
      </c>
      <c r="E1116" s="9">
        <v>11.33</v>
      </c>
      <c r="F1116" s="8" t="s">
        <v>10</v>
      </c>
      <c r="G1116" s="8">
        <v>33.99</v>
      </c>
      <c r="H1116" s="10">
        <f t="shared" si="34"/>
        <v>1</v>
      </c>
      <c r="I1116" s="10">
        <f>YEAR(Sheet1!$A1116)</f>
        <v>2025</v>
      </c>
      <c r="J1116" s="10">
        <f>DAY(Sheet1!$A1116)</f>
        <v>5</v>
      </c>
      <c r="K1116" s="12" t="s">
        <v>2023</v>
      </c>
      <c r="L1116" s="13" t="str">
        <f t="shared" si="35"/>
        <v>Regular Customer</v>
      </c>
    </row>
    <row r="1117" spans="1:12" ht="15.75" customHeight="1" x14ac:dyDescent="0.3">
      <c r="A1117" s="14">
        <v>45420</v>
      </c>
      <c r="B1117" s="15" t="s">
        <v>1468</v>
      </c>
      <c r="C1117" s="15" t="s">
        <v>24</v>
      </c>
      <c r="D1117" s="15" t="s">
        <v>16</v>
      </c>
      <c r="E1117" s="16">
        <v>17.010000000000002</v>
      </c>
      <c r="F1117" s="15" t="s">
        <v>11</v>
      </c>
      <c r="G1117" s="15">
        <v>34.020000000000003</v>
      </c>
      <c r="H1117" s="17">
        <f t="shared" si="34"/>
        <v>5</v>
      </c>
      <c r="I1117" s="17">
        <f>YEAR(Sheet1!$A1117)</f>
        <v>2024</v>
      </c>
      <c r="J1117" s="17">
        <f>DAY(Sheet1!$A1117)</f>
        <v>8</v>
      </c>
      <c r="K1117" s="18" t="s">
        <v>2022</v>
      </c>
      <c r="L1117" s="19" t="str">
        <f t="shared" si="35"/>
        <v>Regular Customer</v>
      </c>
    </row>
    <row r="1118" spans="1:12" ht="15.75" customHeight="1" x14ac:dyDescent="0.3">
      <c r="A1118" s="7">
        <v>45497</v>
      </c>
      <c r="B1118" s="8" t="s">
        <v>1363</v>
      </c>
      <c r="C1118" s="8" t="s">
        <v>13</v>
      </c>
      <c r="D1118" s="8" t="s">
        <v>16</v>
      </c>
      <c r="E1118" s="9">
        <v>11.35</v>
      </c>
      <c r="F1118" s="8" t="s">
        <v>11</v>
      </c>
      <c r="G1118" s="8">
        <v>34.049999999999997</v>
      </c>
      <c r="H1118" s="10">
        <f t="shared" si="34"/>
        <v>7</v>
      </c>
      <c r="I1118" s="10">
        <f>YEAR(Sheet1!$A1118)</f>
        <v>2024</v>
      </c>
      <c r="J1118" s="10">
        <f>DAY(Sheet1!$A1118)</f>
        <v>24</v>
      </c>
      <c r="K1118" s="12" t="s">
        <v>2023</v>
      </c>
      <c r="L1118" s="13" t="str">
        <f t="shared" si="35"/>
        <v>Regular Customer</v>
      </c>
    </row>
    <row r="1119" spans="1:12" ht="15.75" customHeight="1" x14ac:dyDescent="0.3">
      <c r="A1119" s="14">
        <v>45429</v>
      </c>
      <c r="B1119" s="15" t="s">
        <v>557</v>
      </c>
      <c r="C1119" s="15" t="s">
        <v>8</v>
      </c>
      <c r="D1119" s="15" t="s">
        <v>9</v>
      </c>
      <c r="E1119" s="16">
        <v>11.36</v>
      </c>
      <c r="F1119" s="15" t="s">
        <v>11</v>
      </c>
      <c r="G1119" s="15">
        <v>34.08</v>
      </c>
      <c r="H1119" s="17">
        <f t="shared" si="34"/>
        <v>5</v>
      </c>
      <c r="I1119" s="17">
        <f>YEAR(Sheet1!$A1119)</f>
        <v>2024</v>
      </c>
      <c r="J1119" s="17">
        <f>DAY(Sheet1!$A1119)</f>
        <v>17</v>
      </c>
      <c r="K1119" s="18" t="s">
        <v>2022</v>
      </c>
      <c r="L1119" s="19" t="str">
        <f t="shared" si="35"/>
        <v>Regular Customer</v>
      </c>
    </row>
    <row r="1120" spans="1:12" ht="15.75" customHeight="1" x14ac:dyDescent="0.3">
      <c r="A1120" s="7">
        <v>45565</v>
      </c>
      <c r="B1120" s="8" t="s">
        <v>1095</v>
      </c>
      <c r="C1120" s="8" t="s">
        <v>8</v>
      </c>
      <c r="D1120" s="8" t="s">
        <v>14</v>
      </c>
      <c r="E1120" s="9">
        <v>17.07</v>
      </c>
      <c r="F1120" s="8" t="s">
        <v>11</v>
      </c>
      <c r="G1120" s="8">
        <v>34.14</v>
      </c>
      <c r="H1120" s="10">
        <f t="shared" si="34"/>
        <v>9</v>
      </c>
      <c r="I1120" s="10">
        <f>YEAR(Sheet1!$A1120)</f>
        <v>2024</v>
      </c>
      <c r="J1120" s="10">
        <f>DAY(Sheet1!$A1120)</f>
        <v>30</v>
      </c>
      <c r="K1120" s="12" t="s">
        <v>2022</v>
      </c>
      <c r="L1120" s="13" t="str">
        <f t="shared" si="35"/>
        <v>Regular Customer</v>
      </c>
    </row>
    <row r="1121" spans="1:12" ht="15.75" customHeight="1" x14ac:dyDescent="0.3">
      <c r="A1121" s="14">
        <v>45699</v>
      </c>
      <c r="B1121" s="15" t="s">
        <v>1917</v>
      </c>
      <c r="C1121" s="15" t="s">
        <v>24</v>
      </c>
      <c r="D1121" s="15" t="s">
        <v>9</v>
      </c>
      <c r="E1121" s="16">
        <v>17.079999999999998</v>
      </c>
      <c r="F1121" s="15" t="s">
        <v>10</v>
      </c>
      <c r="G1121" s="15">
        <v>34.159999999999997</v>
      </c>
      <c r="H1121" s="17">
        <f t="shared" si="34"/>
        <v>2</v>
      </c>
      <c r="I1121" s="17">
        <f>YEAR(Sheet1!$A1121)</f>
        <v>2025</v>
      </c>
      <c r="J1121" s="17">
        <f>DAY(Sheet1!$A1121)</f>
        <v>11</v>
      </c>
      <c r="K1121" s="18" t="s">
        <v>2023</v>
      </c>
      <c r="L1121" s="19" t="str">
        <f t="shared" si="35"/>
        <v>Regular Customer</v>
      </c>
    </row>
    <row r="1122" spans="1:12" ht="15.75" customHeight="1" x14ac:dyDescent="0.3">
      <c r="A1122" s="7">
        <v>45466</v>
      </c>
      <c r="B1122" s="8" t="s">
        <v>30</v>
      </c>
      <c r="C1122" s="8" t="s">
        <v>13</v>
      </c>
      <c r="D1122" s="8" t="s">
        <v>9</v>
      </c>
      <c r="E1122" s="9">
        <v>11.44</v>
      </c>
      <c r="F1122" s="8" t="s">
        <v>10</v>
      </c>
      <c r="G1122" s="8">
        <v>34.32</v>
      </c>
      <c r="H1122" s="10">
        <f t="shared" si="34"/>
        <v>6</v>
      </c>
      <c r="I1122" s="10">
        <f>YEAR(Sheet1!$A1122)</f>
        <v>2024</v>
      </c>
      <c r="J1122" s="10">
        <f>DAY(Sheet1!$A1122)</f>
        <v>23</v>
      </c>
      <c r="K1122" s="12" t="s">
        <v>2022</v>
      </c>
      <c r="L1122" s="13" t="str">
        <f t="shared" si="35"/>
        <v>Regular Customer</v>
      </c>
    </row>
    <row r="1123" spans="1:12" ht="15.75" customHeight="1" x14ac:dyDescent="0.3">
      <c r="A1123" s="14">
        <v>45739</v>
      </c>
      <c r="B1123" s="15" t="s">
        <v>1368</v>
      </c>
      <c r="C1123" s="15" t="s">
        <v>24</v>
      </c>
      <c r="D1123" s="15" t="s">
        <v>19</v>
      </c>
      <c r="E1123" s="16">
        <v>17.170000000000002</v>
      </c>
      <c r="F1123" s="15" t="s">
        <v>10</v>
      </c>
      <c r="G1123" s="15">
        <v>34.340000000000003</v>
      </c>
      <c r="H1123" s="17">
        <f t="shared" si="34"/>
        <v>3</v>
      </c>
      <c r="I1123" s="17">
        <f>YEAR(Sheet1!$A1123)</f>
        <v>2025</v>
      </c>
      <c r="J1123" s="17">
        <f>DAY(Sheet1!$A1123)</f>
        <v>23</v>
      </c>
      <c r="K1123" s="18" t="s">
        <v>2022</v>
      </c>
      <c r="L1123" s="19" t="str">
        <f t="shared" si="35"/>
        <v>Regular Customer</v>
      </c>
    </row>
    <row r="1124" spans="1:12" ht="15.75" customHeight="1" x14ac:dyDescent="0.3">
      <c r="A1124" s="7">
        <v>45773</v>
      </c>
      <c r="B1124" s="8" t="s">
        <v>1575</v>
      </c>
      <c r="C1124" s="8" t="s">
        <v>13</v>
      </c>
      <c r="D1124" s="8" t="s">
        <v>9</v>
      </c>
      <c r="E1124" s="9">
        <v>11.46</v>
      </c>
      <c r="F1124" s="8" t="s">
        <v>10</v>
      </c>
      <c r="G1124" s="8">
        <v>34.380000000000003</v>
      </c>
      <c r="H1124" s="10">
        <f t="shared" si="34"/>
        <v>4</v>
      </c>
      <c r="I1124" s="10">
        <f>YEAR(Sheet1!$A1124)</f>
        <v>2025</v>
      </c>
      <c r="J1124" s="10">
        <f>DAY(Sheet1!$A1124)</f>
        <v>26</v>
      </c>
      <c r="K1124" s="12" t="s">
        <v>2023</v>
      </c>
      <c r="L1124" s="13" t="str">
        <f t="shared" si="35"/>
        <v>Regular Customer</v>
      </c>
    </row>
    <row r="1125" spans="1:12" ht="15.75" customHeight="1" x14ac:dyDescent="0.3">
      <c r="A1125" s="14">
        <v>45563</v>
      </c>
      <c r="B1125" s="15" t="s">
        <v>1972</v>
      </c>
      <c r="C1125" s="15" t="s">
        <v>13</v>
      </c>
      <c r="D1125" s="15" t="s">
        <v>19</v>
      </c>
      <c r="E1125" s="16">
        <v>17.21</v>
      </c>
      <c r="F1125" s="15" t="s">
        <v>11</v>
      </c>
      <c r="G1125" s="15">
        <v>34.42</v>
      </c>
      <c r="H1125" s="17">
        <f t="shared" si="34"/>
        <v>9</v>
      </c>
      <c r="I1125" s="17">
        <f>YEAR(Sheet1!$A1125)</f>
        <v>2024</v>
      </c>
      <c r="J1125" s="17">
        <f>DAY(Sheet1!$A1125)</f>
        <v>28</v>
      </c>
      <c r="K1125" s="18" t="s">
        <v>2022</v>
      </c>
      <c r="L1125" s="19" t="str">
        <f t="shared" si="35"/>
        <v>Regular Customer</v>
      </c>
    </row>
    <row r="1126" spans="1:12" ht="15.75" customHeight="1" x14ac:dyDescent="0.3">
      <c r="A1126" s="7">
        <v>45602</v>
      </c>
      <c r="B1126" s="8" t="s">
        <v>1112</v>
      </c>
      <c r="C1126" s="8" t="s">
        <v>24</v>
      </c>
      <c r="D1126" s="8" t="s">
        <v>14</v>
      </c>
      <c r="E1126" s="9">
        <v>17.21</v>
      </c>
      <c r="F1126" s="8" t="s">
        <v>11</v>
      </c>
      <c r="G1126" s="8">
        <v>34.42</v>
      </c>
      <c r="H1126" s="10">
        <f t="shared" si="34"/>
        <v>11</v>
      </c>
      <c r="I1126" s="10">
        <f>YEAR(Sheet1!$A1126)</f>
        <v>2024</v>
      </c>
      <c r="J1126" s="10">
        <f>DAY(Sheet1!$A1126)</f>
        <v>6</v>
      </c>
      <c r="K1126" s="12" t="s">
        <v>2022</v>
      </c>
      <c r="L1126" s="13" t="str">
        <f t="shared" si="35"/>
        <v>Regular Customer</v>
      </c>
    </row>
    <row r="1127" spans="1:12" ht="15.75" customHeight="1" x14ac:dyDescent="0.3">
      <c r="A1127" s="14">
        <v>45509</v>
      </c>
      <c r="B1127" s="15" t="s">
        <v>1063</v>
      </c>
      <c r="C1127" s="15" t="s">
        <v>13</v>
      </c>
      <c r="D1127" s="15" t="s">
        <v>14</v>
      </c>
      <c r="E1127" s="16">
        <v>17.22</v>
      </c>
      <c r="F1127" s="15" t="s">
        <v>11</v>
      </c>
      <c r="G1127" s="15">
        <v>34.44</v>
      </c>
      <c r="H1127" s="17">
        <f t="shared" si="34"/>
        <v>8</v>
      </c>
      <c r="I1127" s="17">
        <f>YEAR(Sheet1!$A1127)</f>
        <v>2024</v>
      </c>
      <c r="J1127" s="17">
        <f>DAY(Sheet1!$A1127)</f>
        <v>5</v>
      </c>
      <c r="K1127" s="18" t="s">
        <v>2022</v>
      </c>
      <c r="L1127" s="19" t="str">
        <f t="shared" si="35"/>
        <v>Regular Customer</v>
      </c>
    </row>
    <row r="1128" spans="1:12" ht="15.75" customHeight="1" x14ac:dyDescent="0.3">
      <c r="A1128" s="7">
        <v>45710</v>
      </c>
      <c r="B1128" s="8" t="s">
        <v>1530</v>
      </c>
      <c r="C1128" s="8" t="s">
        <v>18</v>
      </c>
      <c r="D1128" s="8" t="s">
        <v>19</v>
      </c>
      <c r="E1128" s="9">
        <v>11.5</v>
      </c>
      <c r="F1128" s="8" t="s">
        <v>11</v>
      </c>
      <c r="G1128" s="8">
        <v>34.5</v>
      </c>
      <c r="H1128" s="10">
        <f t="shared" si="34"/>
        <v>2</v>
      </c>
      <c r="I1128" s="10">
        <f>YEAR(Sheet1!$A1128)</f>
        <v>2025</v>
      </c>
      <c r="J1128" s="10">
        <f>DAY(Sheet1!$A1128)</f>
        <v>22</v>
      </c>
      <c r="K1128" s="12" t="s">
        <v>2022</v>
      </c>
      <c r="L1128" s="13" t="str">
        <f t="shared" si="35"/>
        <v>Regular Customer</v>
      </c>
    </row>
    <row r="1129" spans="1:12" ht="15.75" customHeight="1" x14ac:dyDescent="0.3">
      <c r="A1129" s="14">
        <v>45752</v>
      </c>
      <c r="B1129" s="15" t="s">
        <v>1679</v>
      </c>
      <c r="C1129" s="15" t="s">
        <v>13</v>
      </c>
      <c r="D1129" s="15" t="s">
        <v>14</v>
      </c>
      <c r="E1129" s="16">
        <v>17.25</v>
      </c>
      <c r="F1129" s="15" t="s">
        <v>11</v>
      </c>
      <c r="G1129" s="15">
        <v>34.5</v>
      </c>
      <c r="H1129" s="17">
        <f t="shared" si="34"/>
        <v>4</v>
      </c>
      <c r="I1129" s="17">
        <f>YEAR(Sheet1!$A1129)</f>
        <v>2025</v>
      </c>
      <c r="J1129" s="17">
        <f>DAY(Sheet1!$A1129)</f>
        <v>5</v>
      </c>
      <c r="K1129" s="18" t="s">
        <v>2022</v>
      </c>
      <c r="L1129" s="19" t="str">
        <f t="shared" si="35"/>
        <v>Regular Customer</v>
      </c>
    </row>
    <row r="1130" spans="1:12" ht="15.75" customHeight="1" x14ac:dyDescent="0.3">
      <c r="A1130" s="7">
        <v>45485</v>
      </c>
      <c r="B1130" s="8" t="s">
        <v>1217</v>
      </c>
      <c r="C1130" s="8" t="s">
        <v>8</v>
      </c>
      <c r="D1130" s="8" t="s">
        <v>9</v>
      </c>
      <c r="E1130" s="9">
        <v>11.53</v>
      </c>
      <c r="F1130" s="8" t="s">
        <v>10</v>
      </c>
      <c r="G1130" s="8">
        <v>34.590000000000003</v>
      </c>
      <c r="H1130" s="10">
        <f t="shared" si="34"/>
        <v>7</v>
      </c>
      <c r="I1130" s="10">
        <f>YEAR(Sheet1!$A1130)</f>
        <v>2024</v>
      </c>
      <c r="J1130" s="10">
        <f>DAY(Sheet1!$A1130)</f>
        <v>12</v>
      </c>
      <c r="K1130" s="12" t="s">
        <v>2022</v>
      </c>
      <c r="L1130" s="13" t="str">
        <f t="shared" si="35"/>
        <v>Regular Customer</v>
      </c>
    </row>
    <row r="1131" spans="1:12" ht="15.75" customHeight="1" x14ac:dyDescent="0.3">
      <c r="A1131" s="14">
        <v>45626</v>
      </c>
      <c r="B1131" s="15" t="s">
        <v>1510</v>
      </c>
      <c r="C1131" s="15" t="s">
        <v>18</v>
      </c>
      <c r="D1131" s="15" t="s">
        <v>16</v>
      </c>
      <c r="E1131" s="16">
        <v>11.54</v>
      </c>
      <c r="F1131" s="15" t="s">
        <v>10</v>
      </c>
      <c r="G1131" s="15">
        <v>34.619999999999997</v>
      </c>
      <c r="H1131" s="17">
        <f t="shared" si="34"/>
        <v>11</v>
      </c>
      <c r="I1131" s="17">
        <f>YEAR(Sheet1!$A1131)</f>
        <v>2024</v>
      </c>
      <c r="J1131" s="17">
        <f>DAY(Sheet1!$A1131)</f>
        <v>30</v>
      </c>
      <c r="K1131" s="18" t="s">
        <v>2023</v>
      </c>
      <c r="L1131" s="19" t="str">
        <f t="shared" si="35"/>
        <v>Regular Customer</v>
      </c>
    </row>
    <row r="1132" spans="1:12" ht="15.75" customHeight="1" x14ac:dyDescent="0.3">
      <c r="A1132" s="7">
        <v>45747</v>
      </c>
      <c r="B1132" s="8" t="s">
        <v>875</v>
      </c>
      <c r="C1132" s="8" t="s">
        <v>13</v>
      </c>
      <c r="D1132" s="8" t="s">
        <v>19</v>
      </c>
      <c r="E1132" s="9">
        <v>11.55</v>
      </c>
      <c r="F1132" s="8" t="s">
        <v>11</v>
      </c>
      <c r="G1132" s="8">
        <v>34.65</v>
      </c>
      <c r="H1132" s="10">
        <f t="shared" si="34"/>
        <v>3</v>
      </c>
      <c r="I1132" s="10">
        <f>YEAR(Sheet1!$A1132)</f>
        <v>2025</v>
      </c>
      <c r="J1132" s="10">
        <f>DAY(Sheet1!$A1132)</f>
        <v>31</v>
      </c>
      <c r="K1132" s="12" t="s">
        <v>2022</v>
      </c>
      <c r="L1132" s="13" t="str">
        <f t="shared" si="35"/>
        <v>Regular Customer</v>
      </c>
    </row>
    <row r="1133" spans="1:12" ht="15.75" customHeight="1" x14ac:dyDescent="0.3">
      <c r="A1133" s="14">
        <v>45768</v>
      </c>
      <c r="B1133" s="15" t="s">
        <v>705</v>
      </c>
      <c r="C1133" s="15" t="s">
        <v>13</v>
      </c>
      <c r="D1133" s="15" t="s">
        <v>9</v>
      </c>
      <c r="E1133" s="16">
        <v>11.56</v>
      </c>
      <c r="F1133" s="15" t="s">
        <v>10</v>
      </c>
      <c r="G1133" s="15">
        <v>34.68</v>
      </c>
      <c r="H1133" s="17">
        <f t="shared" si="34"/>
        <v>4</v>
      </c>
      <c r="I1133" s="17">
        <f>YEAR(Sheet1!$A1133)</f>
        <v>2025</v>
      </c>
      <c r="J1133" s="17">
        <f>DAY(Sheet1!$A1133)</f>
        <v>21</v>
      </c>
      <c r="K1133" s="18" t="s">
        <v>2022</v>
      </c>
      <c r="L1133" s="19" t="str">
        <f t="shared" si="35"/>
        <v>Regular Customer</v>
      </c>
    </row>
    <row r="1134" spans="1:12" ht="15.75" customHeight="1" x14ac:dyDescent="0.3">
      <c r="A1134" s="7">
        <v>45484</v>
      </c>
      <c r="B1134" s="8" t="s">
        <v>1980</v>
      </c>
      <c r="C1134" s="8" t="s">
        <v>13</v>
      </c>
      <c r="D1134" s="8" t="s">
        <v>9</v>
      </c>
      <c r="E1134" s="9">
        <v>17.36</v>
      </c>
      <c r="F1134" s="8" t="s">
        <v>11</v>
      </c>
      <c r="G1134" s="8">
        <v>34.72</v>
      </c>
      <c r="H1134" s="10">
        <f t="shared" si="34"/>
        <v>7</v>
      </c>
      <c r="I1134" s="10">
        <f>YEAR(Sheet1!$A1134)</f>
        <v>2024</v>
      </c>
      <c r="J1134" s="10">
        <f>DAY(Sheet1!$A1134)</f>
        <v>11</v>
      </c>
      <c r="K1134" s="12" t="s">
        <v>2022</v>
      </c>
      <c r="L1134" s="13" t="str">
        <f t="shared" si="35"/>
        <v>Regular Customer</v>
      </c>
    </row>
    <row r="1135" spans="1:12" ht="15.75" customHeight="1" x14ac:dyDescent="0.3">
      <c r="A1135" s="14">
        <v>45699</v>
      </c>
      <c r="B1135" s="15" t="s">
        <v>747</v>
      </c>
      <c r="C1135" s="15" t="s">
        <v>13</v>
      </c>
      <c r="D1135" s="15" t="s">
        <v>16</v>
      </c>
      <c r="E1135" s="16">
        <v>17.36</v>
      </c>
      <c r="F1135" s="15" t="s">
        <v>10</v>
      </c>
      <c r="G1135" s="15">
        <v>34.72</v>
      </c>
      <c r="H1135" s="17">
        <f t="shared" si="34"/>
        <v>2</v>
      </c>
      <c r="I1135" s="17">
        <f>YEAR(Sheet1!$A1135)</f>
        <v>2025</v>
      </c>
      <c r="J1135" s="17">
        <f>DAY(Sheet1!$A1135)</f>
        <v>11</v>
      </c>
      <c r="K1135" s="18" t="s">
        <v>2022</v>
      </c>
      <c r="L1135" s="19" t="str">
        <f t="shared" si="35"/>
        <v>Regular Customer</v>
      </c>
    </row>
    <row r="1136" spans="1:12" ht="15.75" customHeight="1" x14ac:dyDescent="0.3">
      <c r="A1136" s="7">
        <v>45590</v>
      </c>
      <c r="B1136" s="8" t="s">
        <v>1204</v>
      </c>
      <c r="C1136" s="8" t="s">
        <v>24</v>
      </c>
      <c r="D1136" s="8" t="s">
        <v>14</v>
      </c>
      <c r="E1136" s="9">
        <v>11.58</v>
      </c>
      <c r="F1136" s="8" t="s">
        <v>11</v>
      </c>
      <c r="G1136" s="8">
        <v>34.74</v>
      </c>
      <c r="H1136" s="10">
        <f t="shared" si="34"/>
        <v>10</v>
      </c>
      <c r="I1136" s="10">
        <f>YEAR(Sheet1!$A1136)</f>
        <v>2024</v>
      </c>
      <c r="J1136" s="10">
        <f>DAY(Sheet1!$A1136)</f>
        <v>25</v>
      </c>
      <c r="K1136" s="12" t="s">
        <v>2023</v>
      </c>
      <c r="L1136" s="13" t="str">
        <f t="shared" si="35"/>
        <v>Regular Customer</v>
      </c>
    </row>
    <row r="1137" spans="1:12" ht="15.75" customHeight="1" x14ac:dyDescent="0.3">
      <c r="A1137" s="14">
        <v>45444</v>
      </c>
      <c r="B1137" s="15" t="s">
        <v>1327</v>
      </c>
      <c r="C1137" s="15" t="s">
        <v>13</v>
      </c>
      <c r="D1137" s="15" t="s">
        <v>19</v>
      </c>
      <c r="E1137" s="16">
        <v>17.39</v>
      </c>
      <c r="F1137" s="15" t="s">
        <v>10</v>
      </c>
      <c r="G1137" s="15">
        <v>34.78</v>
      </c>
      <c r="H1137" s="17">
        <f t="shared" si="34"/>
        <v>6</v>
      </c>
      <c r="I1137" s="17">
        <f>YEAR(Sheet1!$A1137)</f>
        <v>2024</v>
      </c>
      <c r="J1137" s="17">
        <f>DAY(Sheet1!$A1137)</f>
        <v>1</v>
      </c>
      <c r="K1137" s="18" t="s">
        <v>2022</v>
      </c>
      <c r="L1137" s="19" t="str">
        <f t="shared" si="35"/>
        <v>Regular Customer</v>
      </c>
    </row>
    <row r="1138" spans="1:12" ht="15.75" customHeight="1" x14ac:dyDescent="0.3">
      <c r="A1138" s="7">
        <v>45751</v>
      </c>
      <c r="B1138" s="8" t="s">
        <v>126</v>
      </c>
      <c r="C1138" s="8" t="s">
        <v>24</v>
      </c>
      <c r="D1138" s="8" t="s">
        <v>9</v>
      </c>
      <c r="E1138" s="9">
        <v>11.61</v>
      </c>
      <c r="F1138" s="8" t="s">
        <v>11</v>
      </c>
      <c r="G1138" s="8">
        <v>34.83</v>
      </c>
      <c r="H1138" s="10">
        <f t="shared" si="34"/>
        <v>4</v>
      </c>
      <c r="I1138" s="10">
        <f>YEAR(Sheet1!$A1138)</f>
        <v>2025</v>
      </c>
      <c r="J1138" s="10">
        <f>DAY(Sheet1!$A1138)</f>
        <v>4</v>
      </c>
      <c r="K1138" s="12" t="s">
        <v>2023</v>
      </c>
      <c r="L1138" s="13" t="str">
        <f t="shared" si="35"/>
        <v>Regular Customer</v>
      </c>
    </row>
    <row r="1139" spans="1:12" ht="15.75" customHeight="1" x14ac:dyDescent="0.3">
      <c r="A1139" s="14">
        <v>45694</v>
      </c>
      <c r="B1139" s="15" t="s">
        <v>171</v>
      </c>
      <c r="C1139" s="15" t="s">
        <v>18</v>
      </c>
      <c r="D1139" s="15" t="s">
        <v>9</v>
      </c>
      <c r="E1139" s="16">
        <v>17.43</v>
      </c>
      <c r="F1139" s="15" t="s">
        <v>11</v>
      </c>
      <c r="G1139" s="15">
        <v>34.86</v>
      </c>
      <c r="H1139" s="17">
        <f t="shared" si="34"/>
        <v>2</v>
      </c>
      <c r="I1139" s="17">
        <f>YEAR(Sheet1!$A1139)</f>
        <v>2025</v>
      </c>
      <c r="J1139" s="17">
        <f>DAY(Sheet1!$A1139)</f>
        <v>6</v>
      </c>
      <c r="K1139" s="18" t="s">
        <v>2022</v>
      </c>
      <c r="L1139" s="19" t="str">
        <f t="shared" si="35"/>
        <v>Regular Customer</v>
      </c>
    </row>
    <row r="1140" spans="1:12" ht="15.75" customHeight="1" x14ac:dyDescent="0.3">
      <c r="A1140" s="7">
        <v>45503</v>
      </c>
      <c r="B1140" s="8" t="s">
        <v>1611</v>
      </c>
      <c r="C1140" s="8" t="s">
        <v>18</v>
      </c>
      <c r="D1140" s="8" t="s">
        <v>16</v>
      </c>
      <c r="E1140" s="9">
        <v>17.440000000000001</v>
      </c>
      <c r="F1140" s="8" t="s">
        <v>11</v>
      </c>
      <c r="G1140" s="8">
        <v>34.880000000000003</v>
      </c>
      <c r="H1140" s="10">
        <f t="shared" si="34"/>
        <v>7</v>
      </c>
      <c r="I1140" s="10">
        <f>YEAR(Sheet1!$A1140)</f>
        <v>2024</v>
      </c>
      <c r="J1140" s="10">
        <f>DAY(Sheet1!$A1140)</f>
        <v>30</v>
      </c>
      <c r="K1140" s="12" t="s">
        <v>2023</v>
      </c>
      <c r="L1140" s="13" t="str">
        <f t="shared" si="35"/>
        <v>Regular Customer</v>
      </c>
    </row>
    <row r="1141" spans="1:12" ht="15.75" customHeight="1" x14ac:dyDescent="0.3">
      <c r="A1141" s="14">
        <v>45474</v>
      </c>
      <c r="B1141" s="15" t="s">
        <v>1015</v>
      </c>
      <c r="C1141" s="15" t="s">
        <v>24</v>
      </c>
      <c r="D1141" s="15" t="s">
        <v>9</v>
      </c>
      <c r="E1141" s="16">
        <v>11.65</v>
      </c>
      <c r="F1141" s="15" t="s">
        <v>11</v>
      </c>
      <c r="G1141" s="15">
        <v>34.950000000000003</v>
      </c>
      <c r="H1141" s="17">
        <f t="shared" si="34"/>
        <v>7</v>
      </c>
      <c r="I1141" s="17">
        <f>YEAR(Sheet1!$A1141)</f>
        <v>2024</v>
      </c>
      <c r="J1141" s="17">
        <f>DAY(Sheet1!$A1141)</f>
        <v>1</v>
      </c>
      <c r="K1141" s="18" t="s">
        <v>2023</v>
      </c>
      <c r="L1141" s="19" t="str">
        <f t="shared" si="35"/>
        <v>Regular Customer</v>
      </c>
    </row>
    <row r="1142" spans="1:12" ht="15.75" customHeight="1" x14ac:dyDescent="0.3">
      <c r="A1142" s="7">
        <v>45608</v>
      </c>
      <c r="B1142" s="8" t="s">
        <v>1769</v>
      </c>
      <c r="C1142" s="8" t="s">
        <v>24</v>
      </c>
      <c r="D1142" s="8" t="s">
        <v>9</v>
      </c>
      <c r="E1142" s="9">
        <v>11.67</v>
      </c>
      <c r="F1142" s="8" t="s">
        <v>11</v>
      </c>
      <c r="G1142" s="8">
        <v>35.01</v>
      </c>
      <c r="H1142" s="10">
        <f t="shared" si="34"/>
        <v>11</v>
      </c>
      <c r="I1142" s="10">
        <f>YEAR(Sheet1!$A1142)</f>
        <v>2024</v>
      </c>
      <c r="J1142" s="10">
        <f>DAY(Sheet1!$A1142)</f>
        <v>12</v>
      </c>
      <c r="K1142" s="12" t="s">
        <v>2023</v>
      </c>
      <c r="L1142" s="13" t="str">
        <f t="shared" si="35"/>
        <v>Regular Customer</v>
      </c>
    </row>
    <row r="1143" spans="1:12" ht="15.75" customHeight="1" x14ac:dyDescent="0.3">
      <c r="A1143" s="14">
        <v>45502</v>
      </c>
      <c r="B1143" s="15" t="s">
        <v>1697</v>
      </c>
      <c r="C1143" s="15" t="s">
        <v>8</v>
      </c>
      <c r="D1143" s="15" t="s">
        <v>19</v>
      </c>
      <c r="E1143" s="16">
        <v>17.52</v>
      </c>
      <c r="F1143" s="15" t="s">
        <v>11</v>
      </c>
      <c r="G1143" s="15">
        <v>35.04</v>
      </c>
      <c r="H1143" s="17">
        <f t="shared" si="34"/>
        <v>7</v>
      </c>
      <c r="I1143" s="17">
        <f>YEAR(Sheet1!$A1143)</f>
        <v>2024</v>
      </c>
      <c r="J1143" s="17">
        <f>DAY(Sheet1!$A1143)</f>
        <v>29</v>
      </c>
      <c r="K1143" s="18" t="s">
        <v>2022</v>
      </c>
      <c r="L1143" s="19" t="str">
        <f t="shared" si="35"/>
        <v>Regular Customer</v>
      </c>
    </row>
    <row r="1144" spans="1:12" ht="15.75" customHeight="1" x14ac:dyDescent="0.3">
      <c r="A1144" s="7">
        <v>45703</v>
      </c>
      <c r="B1144" s="8" t="s">
        <v>837</v>
      </c>
      <c r="C1144" s="8" t="s">
        <v>24</v>
      </c>
      <c r="D1144" s="8" t="s">
        <v>16</v>
      </c>
      <c r="E1144" s="9">
        <v>17.53</v>
      </c>
      <c r="F1144" s="8" t="s">
        <v>10</v>
      </c>
      <c r="G1144" s="8">
        <v>35.06</v>
      </c>
      <c r="H1144" s="10">
        <f t="shared" si="34"/>
        <v>2</v>
      </c>
      <c r="I1144" s="10">
        <f>YEAR(Sheet1!$A1144)</f>
        <v>2025</v>
      </c>
      <c r="J1144" s="10">
        <f>DAY(Sheet1!$A1144)</f>
        <v>15</v>
      </c>
      <c r="K1144" s="12" t="s">
        <v>2022</v>
      </c>
      <c r="L1144" s="13" t="str">
        <f t="shared" si="35"/>
        <v>Regular Customer</v>
      </c>
    </row>
    <row r="1145" spans="1:12" ht="15.75" customHeight="1" x14ac:dyDescent="0.3">
      <c r="A1145" s="14">
        <v>45661</v>
      </c>
      <c r="B1145" s="15" t="s">
        <v>1845</v>
      </c>
      <c r="C1145" s="15" t="s">
        <v>8</v>
      </c>
      <c r="D1145" s="15" t="s">
        <v>14</v>
      </c>
      <c r="E1145" s="16">
        <v>17.54</v>
      </c>
      <c r="F1145" s="15" t="s">
        <v>10</v>
      </c>
      <c r="G1145" s="15">
        <v>35.08</v>
      </c>
      <c r="H1145" s="17">
        <f t="shared" si="34"/>
        <v>1</v>
      </c>
      <c r="I1145" s="17">
        <f>YEAR(Sheet1!$A1145)</f>
        <v>2025</v>
      </c>
      <c r="J1145" s="17">
        <f>DAY(Sheet1!$A1145)</f>
        <v>4</v>
      </c>
      <c r="K1145" s="18" t="s">
        <v>2023</v>
      </c>
      <c r="L1145" s="19" t="str">
        <f t="shared" si="35"/>
        <v>Regular Customer</v>
      </c>
    </row>
    <row r="1146" spans="1:12" ht="15.75" customHeight="1" x14ac:dyDescent="0.3">
      <c r="A1146" s="7">
        <v>45492</v>
      </c>
      <c r="B1146" s="8" t="s">
        <v>1987</v>
      </c>
      <c r="C1146" s="8" t="s">
        <v>18</v>
      </c>
      <c r="D1146" s="8" t="s">
        <v>19</v>
      </c>
      <c r="E1146" s="9">
        <v>11.7</v>
      </c>
      <c r="F1146" s="8" t="s">
        <v>10</v>
      </c>
      <c r="G1146" s="8">
        <v>35.1</v>
      </c>
      <c r="H1146" s="10">
        <f t="shared" si="34"/>
        <v>7</v>
      </c>
      <c r="I1146" s="10">
        <f>YEAR(Sheet1!$A1146)</f>
        <v>2024</v>
      </c>
      <c r="J1146" s="10">
        <f>DAY(Sheet1!$A1146)</f>
        <v>19</v>
      </c>
      <c r="K1146" s="12" t="s">
        <v>2022</v>
      </c>
      <c r="L1146" s="13" t="str">
        <f t="shared" si="35"/>
        <v>Regular Customer</v>
      </c>
    </row>
    <row r="1147" spans="1:12" ht="15.75" customHeight="1" x14ac:dyDescent="0.3">
      <c r="A1147" s="14">
        <v>45460</v>
      </c>
      <c r="B1147" s="15" t="s">
        <v>1958</v>
      </c>
      <c r="C1147" s="15" t="s">
        <v>24</v>
      </c>
      <c r="D1147" s="15" t="s">
        <v>14</v>
      </c>
      <c r="E1147" s="16">
        <v>17.559999999999999</v>
      </c>
      <c r="F1147" s="15" t="s">
        <v>11</v>
      </c>
      <c r="G1147" s="15">
        <v>35.119999999999997</v>
      </c>
      <c r="H1147" s="17">
        <f t="shared" si="34"/>
        <v>6</v>
      </c>
      <c r="I1147" s="17">
        <f>YEAR(Sheet1!$A1147)</f>
        <v>2024</v>
      </c>
      <c r="J1147" s="17">
        <f>DAY(Sheet1!$A1147)</f>
        <v>17</v>
      </c>
      <c r="K1147" s="18" t="s">
        <v>2023</v>
      </c>
      <c r="L1147" s="19" t="str">
        <f t="shared" si="35"/>
        <v>Regular Customer</v>
      </c>
    </row>
    <row r="1148" spans="1:12" ht="15.75" customHeight="1" x14ac:dyDescent="0.3">
      <c r="A1148" s="7">
        <v>45682</v>
      </c>
      <c r="B1148" s="8" t="s">
        <v>795</v>
      </c>
      <c r="C1148" s="8" t="s">
        <v>8</v>
      </c>
      <c r="D1148" s="8" t="s">
        <v>16</v>
      </c>
      <c r="E1148" s="9">
        <v>11.73</v>
      </c>
      <c r="F1148" s="8" t="s">
        <v>10</v>
      </c>
      <c r="G1148" s="8">
        <v>35.19</v>
      </c>
      <c r="H1148" s="10">
        <f t="shared" si="34"/>
        <v>1</v>
      </c>
      <c r="I1148" s="10">
        <f>YEAR(Sheet1!$A1148)</f>
        <v>2025</v>
      </c>
      <c r="J1148" s="10">
        <f>DAY(Sheet1!$A1148)</f>
        <v>25</v>
      </c>
      <c r="K1148" s="12" t="s">
        <v>2023</v>
      </c>
      <c r="L1148" s="13" t="str">
        <f t="shared" si="35"/>
        <v>Regular Customer</v>
      </c>
    </row>
    <row r="1149" spans="1:12" ht="15.75" customHeight="1" x14ac:dyDescent="0.3">
      <c r="A1149" s="14">
        <v>45635</v>
      </c>
      <c r="B1149" s="15" t="s">
        <v>1907</v>
      </c>
      <c r="C1149" s="15" t="s">
        <v>24</v>
      </c>
      <c r="D1149" s="15" t="s">
        <v>14</v>
      </c>
      <c r="E1149" s="16">
        <v>17.600000000000001</v>
      </c>
      <c r="F1149" s="15" t="s">
        <v>10</v>
      </c>
      <c r="G1149" s="15">
        <v>35.200000000000003</v>
      </c>
      <c r="H1149" s="17">
        <f t="shared" si="34"/>
        <v>12</v>
      </c>
      <c r="I1149" s="17">
        <f>YEAR(Sheet1!$A1149)</f>
        <v>2024</v>
      </c>
      <c r="J1149" s="17">
        <f>DAY(Sheet1!$A1149)</f>
        <v>9</v>
      </c>
      <c r="K1149" s="18" t="s">
        <v>2022</v>
      </c>
      <c r="L1149" s="19" t="str">
        <f t="shared" si="35"/>
        <v>Regular Customer</v>
      </c>
    </row>
    <row r="1150" spans="1:12" ht="15.75" customHeight="1" x14ac:dyDescent="0.3">
      <c r="A1150" s="7">
        <v>45578</v>
      </c>
      <c r="B1150" s="8" t="s">
        <v>1211</v>
      </c>
      <c r="C1150" s="8" t="s">
        <v>18</v>
      </c>
      <c r="D1150" s="8" t="s">
        <v>14</v>
      </c>
      <c r="E1150" s="9">
        <v>17.61</v>
      </c>
      <c r="F1150" s="8" t="s">
        <v>11</v>
      </c>
      <c r="G1150" s="8">
        <v>35.22</v>
      </c>
      <c r="H1150" s="10">
        <f t="shared" si="34"/>
        <v>10</v>
      </c>
      <c r="I1150" s="10">
        <f>YEAR(Sheet1!$A1150)</f>
        <v>2024</v>
      </c>
      <c r="J1150" s="10">
        <f>DAY(Sheet1!$A1150)</f>
        <v>13</v>
      </c>
      <c r="K1150" s="12" t="s">
        <v>2022</v>
      </c>
      <c r="L1150" s="13" t="str">
        <f t="shared" si="35"/>
        <v>Regular Customer</v>
      </c>
    </row>
    <row r="1151" spans="1:12" ht="15.75" customHeight="1" x14ac:dyDescent="0.3">
      <c r="A1151" s="14">
        <v>45592</v>
      </c>
      <c r="B1151" s="15" t="s">
        <v>1984</v>
      </c>
      <c r="C1151" s="15" t="s">
        <v>8</v>
      </c>
      <c r="D1151" s="15" t="s">
        <v>19</v>
      </c>
      <c r="E1151" s="16">
        <v>17.61</v>
      </c>
      <c r="F1151" s="15" t="s">
        <v>10</v>
      </c>
      <c r="G1151" s="15">
        <v>35.22</v>
      </c>
      <c r="H1151" s="17">
        <f t="shared" si="34"/>
        <v>10</v>
      </c>
      <c r="I1151" s="17">
        <f>YEAR(Sheet1!$A1151)</f>
        <v>2024</v>
      </c>
      <c r="J1151" s="17">
        <f>DAY(Sheet1!$A1151)</f>
        <v>27</v>
      </c>
      <c r="K1151" s="18" t="s">
        <v>2023</v>
      </c>
      <c r="L1151" s="19" t="str">
        <f t="shared" si="35"/>
        <v>Regular Customer</v>
      </c>
    </row>
    <row r="1152" spans="1:12" ht="15.75" customHeight="1" x14ac:dyDescent="0.3">
      <c r="A1152" s="7">
        <v>45637</v>
      </c>
      <c r="B1152" s="8" t="s">
        <v>275</v>
      </c>
      <c r="C1152" s="8" t="s">
        <v>24</v>
      </c>
      <c r="D1152" s="8" t="s">
        <v>9</v>
      </c>
      <c r="E1152" s="9">
        <v>11.74</v>
      </c>
      <c r="F1152" s="8" t="s">
        <v>11</v>
      </c>
      <c r="G1152" s="8">
        <v>35.22</v>
      </c>
      <c r="H1152" s="10">
        <f t="shared" si="34"/>
        <v>12</v>
      </c>
      <c r="I1152" s="10">
        <f>YEAR(Sheet1!$A1152)</f>
        <v>2024</v>
      </c>
      <c r="J1152" s="10">
        <f>DAY(Sheet1!$A1152)</f>
        <v>11</v>
      </c>
      <c r="K1152" s="12" t="s">
        <v>2022</v>
      </c>
      <c r="L1152" s="13" t="str">
        <f t="shared" si="35"/>
        <v>Regular Customer</v>
      </c>
    </row>
    <row r="1153" spans="1:12" ht="15.75" customHeight="1" x14ac:dyDescent="0.3">
      <c r="A1153" s="14">
        <v>45664</v>
      </c>
      <c r="B1153" s="15" t="s">
        <v>1097</v>
      </c>
      <c r="C1153" s="15" t="s">
        <v>8</v>
      </c>
      <c r="D1153" s="15" t="s">
        <v>14</v>
      </c>
      <c r="E1153" s="16">
        <v>11.75</v>
      </c>
      <c r="F1153" s="15" t="s">
        <v>11</v>
      </c>
      <c r="G1153" s="15">
        <v>35.25</v>
      </c>
      <c r="H1153" s="17">
        <f t="shared" si="34"/>
        <v>1</v>
      </c>
      <c r="I1153" s="17">
        <f>YEAR(Sheet1!$A1153)</f>
        <v>2025</v>
      </c>
      <c r="J1153" s="17">
        <f>DAY(Sheet1!$A1153)</f>
        <v>7</v>
      </c>
      <c r="K1153" s="18" t="s">
        <v>2022</v>
      </c>
      <c r="L1153" s="19" t="str">
        <f t="shared" si="35"/>
        <v>Regular Customer</v>
      </c>
    </row>
    <row r="1154" spans="1:12" ht="15.75" customHeight="1" x14ac:dyDescent="0.3">
      <c r="A1154" s="7">
        <v>45568</v>
      </c>
      <c r="B1154" s="8" t="s">
        <v>338</v>
      </c>
      <c r="C1154" s="8" t="s">
        <v>8</v>
      </c>
      <c r="D1154" s="8" t="s">
        <v>16</v>
      </c>
      <c r="E1154" s="9">
        <v>17.64</v>
      </c>
      <c r="F1154" s="8" t="s">
        <v>11</v>
      </c>
      <c r="G1154" s="8">
        <v>35.28</v>
      </c>
      <c r="H1154" s="10">
        <f t="shared" ref="H1154:H1217" si="36">MONTH(A1154)</f>
        <v>10</v>
      </c>
      <c r="I1154" s="10">
        <f>YEAR(Sheet1!$A1154)</f>
        <v>2024</v>
      </c>
      <c r="J1154" s="10">
        <f>DAY(Sheet1!$A1154)</f>
        <v>3</v>
      </c>
      <c r="K1154" s="12" t="s">
        <v>2022</v>
      </c>
      <c r="L1154" s="13" t="str">
        <f t="shared" ref="L1154:L1217" si="37">IF(G1154&gt;50,"Premium Customer","Regular Customer")</f>
        <v>Regular Customer</v>
      </c>
    </row>
    <row r="1155" spans="1:12" ht="15.75" customHeight="1" x14ac:dyDescent="0.3">
      <c r="A1155" s="14">
        <v>45593</v>
      </c>
      <c r="B1155" s="15" t="s">
        <v>547</v>
      </c>
      <c r="C1155" s="15" t="s">
        <v>18</v>
      </c>
      <c r="D1155" s="15" t="s">
        <v>14</v>
      </c>
      <c r="E1155" s="16">
        <v>11.76</v>
      </c>
      <c r="F1155" s="15" t="s">
        <v>10</v>
      </c>
      <c r="G1155" s="15">
        <v>35.28</v>
      </c>
      <c r="H1155" s="17">
        <f t="shared" si="36"/>
        <v>10</v>
      </c>
      <c r="I1155" s="17">
        <f>YEAR(Sheet1!$A1155)</f>
        <v>2024</v>
      </c>
      <c r="J1155" s="17">
        <f>DAY(Sheet1!$A1155)</f>
        <v>28</v>
      </c>
      <c r="K1155" s="18" t="s">
        <v>2022</v>
      </c>
      <c r="L1155" s="19" t="str">
        <f t="shared" si="37"/>
        <v>Regular Customer</v>
      </c>
    </row>
    <row r="1156" spans="1:12" ht="15.75" customHeight="1" x14ac:dyDescent="0.3">
      <c r="A1156" s="7">
        <v>45520</v>
      </c>
      <c r="B1156" s="8" t="s">
        <v>1462</v>
      </c>
      <c r="C1156" s="8" t="s">
        <v>13</v>
      </c>
      <c r="D1156" s="8" t="s">
        <v>19</v>
      </c>
      <c r="E1156" s="9">
        <v>17.66</v>
      </c>
      <c r="F1156" s="8" t="s">
        <v>10</v>
      </c>
      <c r="G1156" s="8">
        <v>35.32</v>
      </c>
      <c r="H1156" s="10">
        <f t="shared" si="36"/>
        <v>8</v>
      </c>
      <c r="I1156" s="10">
        <f>YEAR(Sheet1!$A1156)</f>
        <v>2024</v>
      </c>
      <c r="J1156" s="10">
        <f>DAY(Sheet1!$A1156)</f>
        <v>16</v>
      </c>
      <c r="K1156" s="12" t="s">
        <v>2023</v>
      </c>
      <c r="L1156" s="13" t="str">
        <f t="shared" si="37"/>
        <v>Regular Customer</v>
      </c>
    </row>
    <row r="1157" spans="1:12" ht="15.75" customHeight="1" x14ac:dyDescent="0.3">
      <c r="A1157" s="14">
        <v>45657</v>
      </c>
      <c r="B1157" s="15" t="s">
        <v>740</v>
      </c>
      <c r="C1157" s="15" t="s">
        <v>18</v>
      </c>
      <c r="D1157" s="15" t="s">
        <v>16</v>
      </c>
      <c r="E1157" s="16">
        <v>11.79</v>
      </c>
      <c r="F1157" s="15" t="s">
        <v>10</v>
      </c>
      <c r="G1157" s="15">
        <v>35.369999999999997</v>
      </c>
      <c r="H1157" s="17">
        <f t="shared" si="36"/>
        <v>12</v>
      </c>
      <c r="I1157" s="17">
        <f>YEAR(Sheet1!$A1157)</f>
        <v>2024</v>
      </c>
      <c r="J1157" s="17">
        <f>DAY(Sheet1!$A1157)</f>
        <v>31</v>
      </c>
      <c r="K1157" s="18" t="s">
        <v>2023</v>
      </c>
      <c r="L1157" s="19" t="str">
        <f t="shared" si="37"/>
        <v>Regular Customer</v>
      </c>
    </row>
    <row r="1158" spans="1:12" ht="15.75" customHeight="1" x14ac:dyDescent="0.3">
      <c r="A1158" s="7">
        <v>45645</v>
      </c>
      <c r="B1158" s="8" t="s">
        <v>1288</v>
      </c>
      <c r="C1158" s="8" t="s">
        <v>18</v>
      </c>
      <c r="D1158" s="8" t="s">
        <v>19</v>
      </c>
      <c r="E1158" s="9">
        <v>17.690000000000001</v>
      </c>
      <c r="F1158" s="8" t="s">
        <v>11</v>
      </c>
      <c r="G1158" s="8">
        <v>35.380000000000003</v>
      </c>
      <c r="H1158" s="10">
        <f t="shared" si="36"/>
        <v>12</v>
      </c>
      <c r="I1158" s="10">
        <f>YEAR(Sheet1!$A1158)</f>
        <v>2024</v>
      </c>
      <c r="J1158" s="10">
        <f>DAY(Sheet1!$A1158)</f>
        <v>19</v>
      </c>
      <c r="K1158" s="12" t="s">
        <v>2022</v>
      </c>
      <c r="L1158" s="13" t="str">
        <f t="shared" si="37"/>
        <v>Regular Customer</v>
      </c>
    </row>
    <row r="1159" spans="1:12" ht="15.75" customHeight="1" x14ac:dyDescent="0.3">
      <c r="A1159" s="14">
        <v>45576</v>
      </c>
      <c r="B1159" s="15" t="s">
        <v>880</v>
      </c>
      <c r="C1159" s="15" t="s">
        <v>13</v>
      </c>
      <c r="D1159" s="15" t="s">
        <v>19</v>
      </c>
      <c r="E1159" s="16">
        <v>11.81</v>
      </c>
      <c r="F1159" s="15" t="s">
        <v>10</v>
      </c>
      <c r="G1159" s="15">
        <v>35.43</v>
      </c>
      <c r="H1159" s="17">
        <f t="shared" si="36"/>
        <v>10</v>
      </c>
      <c r="I1159" s="17">
        <f>YEAR(Sheet1!$A1159)</f>
        <v>2024</v>
      </c>
      <c r="J1159" s="17">
        <f>DAY(Sheet1!$A1159)</f>
        <v>11</v>
      </c>
      <c r="K1159" s="18" t="s">
        <v>2023</v>
      </c>
      <c r="L1159" s="19" t="str">
        <f t="shared" si="37"/>
        <v>Regular Customer</v>
      </c>
    </row>
    <row r="1160" spans="1:12" ht="15.75" customHeight="1" x14ac:dyDescent="0.3">
      <c r="A1160" s="7">
        <v>45726</v>
      </c>
      <c r="B1160" s="8" t="s">
        <v>1585</v>
      </c>
      <c r="C1160" s="8" t="s">
        <v>8</v>
      </c>
      <c r="D1160" s="8" t="s">
        <v>19</v>
      </c>
      <c r="E1160" s="9">
        <v>11.81</v>
      </c>
      <c r="F1160" s="8" t="s">
        <v>10</v>
      </c>
      <c r="G1160" s="8">
        <v>35.43</v>
      </c>
      <c r="H1160" s="10">
        <f t="shared" si="36"/>
        <v>3</v>
      </c>
      <c r="I1160" s="10">
        <f>YEAR(Sheet1!$A1160)</f>
        <v>2025</v>
      </c>
      <c r="J1160" s="10">
        <f>DAY(Sheet1!$A1160)</f>
        <v>10</v>
      </c>
      <c r="K1160" s="12" t="s">
        <v>2023</v>
      </c>
      <c r="L1160" s="13" t="str">
        <f t="shared" si="37"/>
        <v>Regular Customer</v>
      </c>
    </row>
    <row r="1161" spans="1:12" ht="15.75" customHeight="1" x14ac:dyDescent="0.3">
      <c r="A1161" s="14">
        <v>45658</v>
      </c>
      <c r="B1161" s="15" t="s">
        <v>876</v>
      </c>
      <c r="C1161" s="15" t="s">
        <v>18</v>
      </c>
      <c r="D1161" s="15" t="s">
        <v>16</v>
      </c>
      <c r="E1161" s="16">
        <v>17.75</v>
      </c>
      <c r="F1161" s="15" t="s">
        <v>10</v>
      </c>
      <c r="G1161" s="15">
        <v>35.5</v>
      </c>
      <c r="H1161" s="17">
        <f t="shared" si="36"/>
        <v>1</v>
      </c>
      <c r="I1161" s="17">
        <f>YEAR(Sheet1!$A1161)</f>
        <v>2025</v>
      </c>
      <c r="J1161" s="17">
        <f>DAY(Sheet1!$A1161)</f>
        <v>1</v>
      </c>
      <c r="K1161" s="18" t="s">
        <v>2023</v>
      </c>
      <c r="L1161" s="19" t="str">
        <f t="shared" si="37"/>
        <v>Regular Customer</v>
      </c>
    </row>
    <row r="1162" spans="1:12" ht="15.75" customHeight="1" x14ac:dyDescent="0.3">
      <c r="A1162" s="7">
        <v>45742</v>
      </c>
      <c r="B1162" s="8" t="s">
        <v>725</v>
      </c>
      <c r="C1162" s="8" t="s">
        <v>13</v>
      </c>
      <c r="D1162" s="8" t="s">
        <v>9</v>
      </c>
      <c r="E1162" s="9">
        <v>11.84</v>
      </c>
      <c r="F1162" s="8" t="s">
        <v>11</v>
      </c>
      <c r="G1162" s="8">
        <v>35.520000000000003</v>
      </c>
      <c r="H1162" s="10">
        <f t="shared" si="36"/>
        <v>3</v>
      </c>
      <c r="I1162" s="10">
        <f>YEAR(Sheet1!$A1162)</f>
        <v>2025</v>
      </c>
      <c r="J1162" s="10">
        <f>DAY(Sheet1!$A1162)</f>
        <v>26</v>
      </c>
      <c r="K1162" s="12" t="s">
        <v>2022</v>
      </c>
      <c r="L1162" s="13" t="str">
        <f t="shared" si="37"/>
        <v>Regular Customer</v>
      </c>
    </row>
    <row r="1163" spans="1:12" ht="15.75" customHeight="1" x14ac:dyDescent="0.3">
      <c r="A1163" s="14">
        <v>45645</v>
      </c>
      <c r="B1163" s="15" t="s">
        <v>1563</v>
      </c>
      <c r="C1163" s="15" t="s">
        <v>13</v>
      </c>
      <c r="D1163" s="15" t="s">
        <v>16</v>
      </c>
      <c r="E1163" s="16">
        <v>17.77</v>
      </c>
      <c r="F1163" s="15" t="s">
        <v>10</v>
      </c>
      <c r="G1163" s="15">
        <v>35.54</v>
      </c>
      <c r="H1163" s="17">
        <f t="shared" si="36"/>
        <v>12</v>
      </c>
      <c r="I1163" s="17">
        <f>YEAR(Sheet1!$A1163)</f>
        <v>2024</v>
      </c>
      <c r="J1163" s="17">
        <f>DAY(Sheet1!$A1163)</f>
        <v>19</v>
      </c>
      <c r="K1163" s="18" t="s">
        <v>2023</v>
      </c>
      <c r="L1163" s="19" t="str">
        <f t="shared" si="37"/>
        <v>Regular Customer</v>
      </c>
    </row>
    <row r="1164" spans="1:12" ht="15.75" customHeight="1" x14ac:dyDescent="0.3">
      <c r="A1164" s="7">
        <v>45507</v>
      </c>
      <c r="B1164" s="8" t="s">
        <v>1231</v>
      </c>
      <c r="C1164" s="8" t="s">
        <v>8</v>
      </c>
      <c r="D1164" s="8" t="s">
        <v>16</v>
      </c>
      <c r="E1164" s="9">
        <v>11.85</v>
      </c>
      <c r="F1164" s="8" t="s">
        <v>10</v>
      </c>
      <c r="G1164" s="8">
        <v>35.549999999999997</v>
      </c>
      <c r="H1164" s="10">
        <f t="shared" si="36"/>
        <v>8</v>
      </c>
      <c r="I1164" s="10">
        <f>YEAR(Sheet1!$A1164)</f>
        <v>2024</v>
      </c>
      <c r="J1164" s="10">
        <f>DAY(Sheet1!$A1164)</f>
        <v>3</v>
      </c>
      <c r="K1164" s="12" t="s">
        <v>2022</v>
      </c>
      <c r="L1164" s="13" t="str">
        <f t="shared" si="37"/>
        <v>Regular Customer</v>
      </c>
    </row>
    <row r="1165" spans="1:12" ht="15.75" customHeight="1" x14ac:dyDescent="0.3">
      <c r="A1165" s="14">
        <v>45696</v>
      </c>
      <c r="B1165" s="15" t="s">
        <v>382</v>
      </c>
      <c r="C1165" s="15" t="s">
        <v>8</v>
      </c>
      <c r="D1165" s="15" t="s">
        <v>9</v>
      </c>
      <c r="E1165" s="16">
        <v>17.84</v>
      </c>
      <c r="F1165" s="15" t="s">
        <v>11</v>
      </c>
      <c r="G1165" s="15">
        <v>35.68</v>
      </c>
      <c r="H1165" s="17">
        <f t="shared" si="36"/>
        <v>2</v>
      </c>
      <c r="I1165" s="17">
        <f>YEAR(Sheet1!$A1165)</f>
        <v>2025</v>
      </c>
      <c r="J1165" s="17">
        <f>DAY(Sheet1!$A1165)</f>
        <v>8</v>
      </c>
      <c r="K1165" s="18" t="s">
        <v>2022</v>
      </c>
      <c r="L1165" s="19" t="str">
        <f t="shared" si="37"/>
        <v>Regular Customer</v>
      </c>
    </row>
    <row r="1166" spans="1:12" ht="15.75" customHeight="1" x14ac:dyDescent="0.3">
      <c r="A1166" s="7">
        <v>45683</v>
      </c>
      <c r="B1166" s="8" t="s">
        <v>829</v>
      </c>
      <c r="C1166" s="8" t="s">
        <v>18</v>
      </c>
      <c r="D1166" s="8" t="s">
        <v>14</v>
      </c>
      <c r="E1166" s="9">
        <v>11.91</v>
      </c>
      <c r="F1166" s="8" t="s">
        <v>11</v>
      </c>
      <c r="G1166" s="8">
        <v>35.729999999999997</v>
      </c>
      <c r="H1166" s="10">
        <f t="shared" si="36"/>
        <v>1</v>
      </c>
      <c r="I1166" s="10">
        <f>YEAR(Sheet1!$A1166)</f>
        <v>2025</v>
      </c>
      <c r="J1166" s="10">
        <f>DAY(Sheet1!$A1166)</f>
        <v>26</v>
      </c>
      <c r="K1166" s="12" t="s">
        <v>2023</v>
      </c>
      <c r="L1166" s="13" t="str">
        <f t="shared" si="37"/>
        <v>Regular Customer</v>
      </c>
    </row>
    <row r="1167" spans="1:12" ht="15.75" customHeight="1" x14ac:dyDescent="0.3">
      <c r="A1167" s="14">
        <v>45615</v>
      </c>
      <c r="B1167" s="15" t="s">
        <v>52</v>
      </c>
      <c r="C1167" s="15" t="s">
        <v>8</v>
      </c>
      <c r="D1167" s="15" t="s">
        <v>9</v>
      </c>
      <c r="E1167" s="16">
        <v>17.88</v>
      </c>
      <c r="F1167" s="15" t="s">
        <v>10</v>
      </c>
      <c r="G1167" s="15">
        <v>35.76</v>
      </c>
      <c r="H1167" s="17">
        <f t="shared" si="36"/>
        <v>11</v>
      </c>
      <c r="I1167" s="17">
        <f>YEAR(Sheet1!$A1167)</f>
        <v>2024</v>
      </c>
      <c r="J1167" s="17">
        <f>DAY(Sheet1!$A1167)</f>
        <v>19</v>
      </c>
      <c r="K1167" s="18" t="s">
        <v>2023</v>
      </c>
      <c r="L1167" s="19" t="str">
        <f t="shared" si="37"/>
        <v>Regular Customer</v>
      </c>
    </row>
    <row r="1168" spans="1:12" ht="15.75" customHeight="1" x14ac:dyDescent="0.3">
      <c r="A1168" s="7">
        <v>45437</v>
      </c>
      <c r="B1168" s="8" t="s">
        <v>1820</v>
      </c>
      <c r="C1168" s="8" t="s">
        <v>24</v>
      </c>
      <c r="D1168" s="8" t="s">
        <v>16</v>
      </c>
      <c r="E1168" s="9">
        <v>11.94</v>
      </c>
      <c r="F1168" s="8" t="s">
        <v>11</v>
      </c>
      <c r="G1168" s="8">
        <v>35.82</v>
      </c>
      <c r="H1168" s="10">
        <f t="shared" si="36"/>
        <v>5</v>
      </c>
      <c r="I1168" s="10">
        <f>YEAR(Sheet1!$A1168)</f>
        <v>2024</v>
      </c>
      <c r="J1168" s="10">
        <f>DAY(Sheet1!$A1168)</f>
        <v>25</v>
      </c>
      <c r="K1168" s="12" t="s">
        <v>2023</v>
      </c>
      <c r="L1168" s="13" t="str">
        <f t="shared" si="37"/>
        <v>Regular Customer</v>
      </c>
    </row>
    <row r="1169" spans="1:12" ht="15.75" customHeight="1" x14ac:dyDescent="0.3">
      <c r="A1169" s="14">
        <v>45701</v>
      </c>
      <c r="B1169" s="15" t="s">
        <v>1246</v>
      </c>
      <c r="C1169" s="15" t="s">
        <v>8</v>
      </c>
      <c r="D1169" s="15" t="s">
        <v>19</v>
      </c>
      <c r="E1169" s="16">
        <v>17.91</v>
      </c>
      <c r="F1169" s="15" t="s">
        <v>11</v>
      </c>
      <c r="G1169" s="15">
        <v>35.82</v>
      </c>
      <c r="H1169" s="17">
        <f t="shared" si="36"/>
        <v>2</v>
      </c>
      <c r="I1169" s="17">
        <f>YEAR(Sheet1!$A1169)</f>
        <v>2025</v>
      </c>
      <c r="J1169" s="17">
        <f>DAY(Sheet1!$A1169)</f>
        <v>13</v>
      </c>
      <c r="K1169" s="18" t="s">
        <v>2023</v>
      </c>
      <c r="L1169" s="19" t="str">
        <f t="shared" si="37"/>
        <v>Regular Customer</v>
      </c>
    </row>
    <row r="1170" spans="1:12" ht="15.75" customHeight="1" x14ac:dyDescent="0.3">
      <c r="A1170" s="7">
        <v>45527</v>
      </c>
      <c r="B1170" s="8" t="s">
        <v>416</v>
      </c>
      <c r="C1170" s="8" t="s">
        <v>8</v>
      </c>
      <c r="D1170" s="8" t="s">
        <v>19</v>
      </c>
      <c r="E1170" s="9">
        <v>11.98</v>
      </c>
      <c r="F1170" s="8" t="s">
        <v>10</v>
      </c>
      <c r="G1170" s="8">
        <v>35.94</v>
      </c>
      <c r="H1170" s="10">
        <f t="shared" si="36"/>
        <v>8</v>
      </c>
      <c r="I1170" s="10">
        <f>YEAR(Sheet1!$A1170)</f>
        <v>2024</v>
      </c>
      <c r="J1170" s="10">
        <f>DAY(Sheet1!$A1170)</f>
        <v>23</v>
      </c>
      <c r="K1170" s="12" t="s">
        <v>2022</v>
      </c>
      <c r="L1170" s="13" t="str">
        <f t="shared" si="37"/>
        <v>Regular Customer</v>
      </c>
    </row>
    <row r="1171" spans="1:12" ht="15.75" customHeight="1" x14ac:dyDescent="0.3">
      <c r="A1171" s="14">
        <v>45445</v>
      </c>
      <c r="B1171" s="15" t="s">
        <v>662</v>
      </c>
      <c r="C1171" s="15" t="s">
        <v>24</v>
      </c>
      <c r="D1171" s="15" t="s">
        <v>9</v>
      </c>
      <c r="E1171" s="16">
        <v>17.98</v>
      </c>
      <c r="F1171" s="15" t="s">
        <v>11</v>
      </c>
      <c r="G1171" s="15">
        <v>35.96</v>
      </c>
      <c r="H1171" s="17">
        <f t="shared" si="36"/>
        <v>6</v>
      </c>
      <c r="I1171" s="17">
        <f>YEAR(Sheet1!$A1171)</f>
        <v>2024</v>
      </c>
      <c r="J1171" s="17">
        <f>DAY(Sheet1!$A1171)</f>
        <v>2</v>
      </c>
      <c r="K1171" s="18" t="s">
        <v>2022</v>
      </c>
      <c r="L1171" s="19" t="str">
        <f t="shared" si="37"/>
        <v>Regular Customer</v>
      </c>
    </row>
    <row r="1172" spans="1:12" ht="15.75" customHeight="1" x14ac:dyDescent="0.3">
      <c r="A1172" s="7">
        <v>45665</v>
      </c>
      <c r="B1172" s="8" t="s">
        <v>219</v>
      </c>
      <c r="C1172" s="8" t="s">
        <v>18</v>
      </c>
      <c r="D1172" s="8" t="s">
        <v>19</v>
      </c>
      <c r="E1172" s="9">
        <v>18.02</v>
      </c>
      <c r="F1172" s="8" t="s">
        <v>11</v>
      </c>
      <c r="G1172" s="8">
        <v>36.04</v>
      </c>
      <c r="H1172" s="10">
        <f t="shared" si="36"/>
        <v>1</v>
      </c>
      <c r="I1172" s="10">
        <f>YEAR(Sheet1!$A1172)</f>
        <v>2025</v>
      </c>
      <c r="J1172" s="10">
        <f>DAY(Sheet1!$A1172)</f>
        <v>8</v>
      </c>
      <c r="K1172" s="12" t="s">
        <v>2023</v>
      </c>
      <c r="L1172" s="13" t="str">
        <f t="shared" si="37"/>
        <v>Regular Customer</v>
      </c>
    </row>
    <row r="1173" spans="1:12" ht="15.75" customHeight="1" x14ac:dyDescent="0.3">
      <c r="A1173" s="14">
        <v>45522</v>
      </c>
      <c r="B1173" s="15" t="s">
        <v>992</v>
      </c>
      <c r="C1173" s="15" t="s">
        <v>8</v>
      </c>
      <c r="D1173" s="15" t="s">
        <v>9</v>
      </c>
      <c r="E1173" s="16">
        <v>12.03</v>
      </c>
      <c r="F1173" s="15" t="s">
        <v>11</v>
      </c>
      <c r="G1173" s="15">
        <v>36.090000000000003</v>
      </c>
      <c r="H1173" s="17">
        <f t="shared" si="36"/>
        <v>8</v>
      </c>
      <c r="I1173" s="17">
        <f>YEAR(Sheet1!$A1173)</f>
        <v>2024</v>
      </c>
      <c r="J1173" s="17">
        <f>DAY(Sheet1!$A1173)</f>
        <v>18</v>
      </c>
      <c r="K1173" s="18" t="s">
        <v>2023</v>
      </c>
      <c r="L1173" s="19" t="str">
        <f t="shared" si="37"/>
        <v>Regular Customer</v>
      </c>
    </row>
    <row r="1174" spans="1:12" ht="15.75" customHeight="1" x14ac:dyDescent="0.3">
      <c r="A1174" s="7">
        <v>45737</v>
      </c>
      <c r="B1174" s="8" t="s">
        <v>28</v>
      </c>
      <c r="C1174" s="8" t="s">
        <v>13</v>
      </c>
      <c r="D1174" s="8" t="s">
        <v>19</v>
      </c>
      <c r="E1174" s="9">
        <v>18.05</v>
      </c>
      <c r="F1174" s="8" t="s">
        <v>10</v>
      </c>
      <c r="G1174" s="8">
        <v>36.1</v>
      </c>
      <c r="H1174" s="10">
        <f t="shared" si="36"/>
        <v>3</v>
      </c>
      <c r="I1174" s="10">
        <f>YEAR(Sheet1!$A1174)</f>
        <v>2025</v>
      </c>
      <c r="J1174" s="10">
        <f>DAY(Sheet1!$A1174)</f>
        <v>21</v>
      </c>
      <c r="K1174" s="12" t="s">
        <v>2023</v>
      </c>
      <c r="L1174" s="13" t="str">
        <f t="shared" si="37"/>
        <v>Regular Customer</v>
      </c>
    </row>
    <row r="1175" spans="1:12" ht="15.75" customHeight="1" x14ac:dyDescent="0.3">
      <c r="A1175" s="14">
        <v>45538</v>
      </c>
      <c r="B1175" s="15" t="s">
        <v>295</v>
      </c>
      <c r="C1175" s="15" t="s">
        <v>18</v>
      </c>
      <c r="D1175" s="15" t="s">
        <v>16</v>
      </c>
      <c r="E1175" s="16">
        <v>18.07</v>
      </c>
      <c r="F1175" s="15" t="s">
        <v>10</v>
      </c>
      <c r="G1175" s="15">
        <v>36.14</v>
      </c>
      <c r="H1175" s="17">
        <f t="shared" si="36"/>
        <v>9</v>
      </c>
      <c r="I1175" s="17">
        <f>YEAR(Sheet1!$A1175)</f>
        <v>2024</v>
      </c>
      <c r="J1175" s="17">
        <f>DAY(Sheet1!$A1175)</f>
        <v>3</v>
      </c>
      <c r="K1175" s="18" t="s">
        <v>2023</v>
      </c>
      <c r="L1175" s="19" t="str">
        <f t="shared" si="37"/>
        <v>Regular Customer</v>
      </c>
    </row>
    <row r="1176" spans="1:12" ht="15.75" customHeight="1" x14ac:dyDescent="0.3">
      <c r="A1176" s="7">
        <v>45488</v>
      </c>
      <c r="B1176" s="8" t="s">
        <v>862</v>
      </c>
      <c r="C1176" s="8" t="s">
        <v>13</v>
      </c>
      <c r="D1176" s="8" t="s">
        <v>16</v>
      </c>
      <c r="E1176" s="9">
        <v>12.06</v>
      </c>
      <c r="F1176" s="8" t="s">
        <v>10</v>
      </c>
      <c r="G1176" s="8">
        <v>36.18</v>
      </c>
      <c r="H1176" s="10">
        <f t="shared" si="36"/>
        <v>7</v>
      </c>
      <c r="I1176" s="10">
        <f>YEAR(Sheet1!$A1176)</f>
        <v>2024</v>
      </c>
      <c r="J1176" s="10">
        <f>DAY(Sheet1!$A1176)</f>
        <v>15</v>
      </c>
      <c r="K1176" s="12" t="s">
        <v>2023</v>
      </c>
      <c r="L1176" s="13" t="str">
        <f t="shared" si="37"/>
        <v>Regular Customer</v>
      </c>
    </row>
    <row r="1177" spans="1:12" ht="15.75" customHeight="1" x14ac:dyDescent="0.3">
      <c r="A1177" s="14">
        <v>45535</v>
      </c>
      <c r="B1177" s="15" t="s">
        <v>482</v>
      </c>
      <c r="C1177" s="15" t="s">
        <v>24</v>
      </c>
      <c r="D1177" s="15" t="s">
        <v>19</v>
      </c>
      <c r="E1177" s="16">
        <v>12.07</v>
      </c>
      <c r="F1177" s="15" t="s">
        <v>10</v>
      </c>
      <c r="G1177" s="15">
        <v>36.21</v>
      </c>
      <c r="H1177" s="17">
        <f t="shared" si="36"/>
        <v>8</v>
      </c>
      <c r="I1177" s="17">
        <f>YEAR(Sheet1!$A1177)</f>
        <v>2024</v>
      </c>
      <c r="J1177" s="17">
        <f>DAY(Sheet1!$A1177)</f>
        <v>31</v>
      </c>
      <c r="K1177" s="18" t="s">
        <v>2023</v>
      </c>
      <c r="L1177" s="19" t="str">
        <f t="shared" si="37"/>
        <v>Regular Customer</v>
      </c>
    </row>
    <row r="1178" spans="1:12" ht="15.75" customHeight="1" x14ac:dyDescent="0.3">
      <c r="A1178" s="7">
        <v>45608</v>
      </c>
      <c r="B1178" s="8" t="s">
        <v>1503</v>
      </c>
      <c r="C1178" s="8" t="s">
        <v>18</v>
      </c>
      <c r="D1178" s="8" t="s">
        <v>16</v>
      </c>
      <c r="E1178" s="9">
        <v>12.11</v>
      </c>
      <c r="F1178" s="8" t="s">
        <v>10</v>
      </c>
      <c r="G1178" s="8">
        <v>36.33</v>
      </c>
      <c r="H1178" s="10">
        <f t="shared" si="36"/>
        <v>11</v>
      </c>
      <c r="I1178" s="10">
        <f>YEAR(Sheet1!$A1178)</f>
        <v>2024</v>
      </c>
      <c r="J1178" s="10">
        <f>DAY(Sheet1!$A1178)</f>
        <v>12</v>
      </c>
      <c r="K1178" s="12" t="s">
        <v>2022</v>
      </c>
      <c r="L1178" s="13" t="str">
        <f t="shared" si="37"/>
        <v>Regular Customer</v>
      </c>
    </row>
    <row r="1179" spans="1:12" ht="15.75" customHeight="1" x14ac:dyDescent="0.3">
      <c r="A1179" s="14">
        <v>45457</v>
      </c>
      <c r="B1179" s="15" t="s">
        <v>998</v>
      </c>
      <c r="C1179" s="15" t="s">
        <v>13</v>
      </c>
      <c r="D1179" s="15" t="s">
        <v>16</v>
      </c>
      <c r="E1179" s="16">
        <v>18.239999999999998</v>
      </c>
      <c r="F1179" s="15" t="s">
        <v>10</v>
      </c>
      <c r="G1179" s="15">
        <v>36.479999999999997</v>
      </c>
      <c r="H1179" s="17">
        <f t="shared" si="36"/>
        <v>6</v>
      </c>
      <c r="I1179" s="17">
        <f>YEAR(Sheet1!$A1179)</f>
        <v>2024</v>
      </c>
      <c r="J1179" s="17">
        <f>DAY(Sheet1!$A1179)</f>
        <v>14</v>
      </c>
      <c r="K1179" s="18" t="s">
        <v>2022</v>
      </c>
      <c r="L1179" s="19" t="str">
        <f t="shared" si="37"/>
        <v>Regular Customer</v>
      </c>
    </row>
    <row r="1180" spans="1:12" ht="15.75" customHeight="1" x14ac:dyDescent="0.3">
      <c r="A1180" s="7">
        <v>45554</v>
      </c>
      <c r="B1180" s="8" t="s">
        <v>1914</v>
      </c>
      <c r="C1180" s="8" t="s">
        <v>18</v>
      </c>
      <c r="D1180" s="8" t="s">
        <v>16</v>
      </c>
      <c r="E1180" s="9">
        <v>12.16</v>
      </c>
      <c r="F1180" s="8" t="s">
        <v>10</v>
      </c>
      <c r="G1180" s="8">
        <v>36.479999999999997</v>
      </c>
      <c r="H1180" s="10">
        <f t="shared" si="36"/>
        <v>9</v>
      </c>
      <c r="I1180" s="10">
        <f>YEAR(Sheet1!$A1180)</f>
        <v>2024</v>
      </c>
      <c r="J1180" s="10">
        <f>DAY(Sheet1!$A1180)</f>
        <v>19</v>
      </c>
      <c r="K1180" s="12" t="s">
        <v>2022</v>
      </c>
      <c r="L1180" s="13" t="str">
        <f t="shared" si="37"/>
        <v>Regular Customer</v>
      </c>
    </row>
    <row r="1181" spans="1:12" ht="15.75" customHeight="1" x14ac:dyDescent="0.3">
      <c r="A1181" s="14">
        <v>45621</v>
      </c>
      <c r="B1181" s="15" t="s">
        <v>983</v>
      </c>
      <c r="C1181" s="15" t="s">
        <v>13</v>
      </c>
      <c r="D1181" s="15" t="s">
        <v>19</v>
      </c>
      <c r="E1181" s="16">
        <v>18.29</v>
      </c>
      <c r="F1181" s="15" t="s">
        <v>10</v>
      </c>
      <c r="G1181" s="15">
        <v>36.58</v>
      </c>
      <c r="H1181" s="17">
        <f t="shared" si="36"/>
        <v>11</v>
      </c>
      <c r="I1181" s="17">
        <f>YEAR(Sheet1!$A1181)</f>
        <v>2024</v>
      </c>
      <c r="J1181" s="17">
        <f>DAY(Sheet1!$A1181)</f>
        <v>25</v>
      </c>
      <c r="K1181" s="18" t="s">
        <v>2023</v>
      </c>
      <c r="L1181" s="19" t="str">
        <f t="shared" si="37"/>
        <v>Regular Customer</v>
      </c>
    </row>
    <row r="1182" spans="1:12" ht="15.75" customHeight="1" x14ac:dyDescent="0.3">
      <c r="A1182" s="7">
        <v>45532</v>
      </c>
      <c r="B1182" s="8" t="s">
        <v>1313</v>
      </c>
      <c r="C1182" s="8" t="s">
        <v>13</v>
      </c>
      <c r="D1182" s="8" t="s">
        <v>9</v>
      </c>
      <c r="E1182" s="9">
        <v>18.309999999999999</v>
      </c>
      <c r="F1182" s="8" t="s">
        <v>11</v>
      </c>
      <c r="G1182" s="8">
        <v>36.619999999999997</v>
      </c>
      <c r="H1182" s="10">
        <f t="shared" si="36"/>
        <v>8</v>
      </c>
      <c r="I1182" s="10">
        <f>YEAR(Sheet1!$A1182)</f>
        <v>2024</v>
      </c>
      <c r="J1182" s="10">
        <f>DAY(Sheet1!$A1182)</f>
        <v>28</v>
      </c>
      <c r="K1182" s="12" t="s">
        <v>2023</v>
      </c>
      <c r="L1182" s="13" t="str">
        <f t="shared" si="37"/>
        <v>Regular Customer</v>
      </c>
    </row>
    <row r="1183" spans="1:12" ht="15.75" customHeight="1" x14ac:dyDescent="0.3">
      <c r="A1183" s="14">
        <v>45608</v>
      </c>
      <c r="B1183" s="15" t="s">
        <v>1915</v>
      </c>
      <c r="C1183" s="15" t="s">
        <v>8</v>
      </c>
      <c r="D1183" s="15" t="s">
        <v>14</v>
      </c>
      <c r="E1183" s="16">
        <v>12.22</v>
      </c>
      <c r="F1183" s="15" t="s">
        <v>11</v>
      </c>
      <c r="G1183" s="15">
        <v>36.659999999999997</v>
      </c>
      <c r="H1183" s="17">
        <f t="shared" si="36"/>
        <v>11</v>
      </c>
      <c r="I1183" s="17">
        <f>YEAR(Sheet1!$A1183)</f>
        <v>2024</v>
      </c>
      <c r="J1183" s="17">
        <f>DAY(Sheet1!$A1183)</f>
        <v>12</v>
      </c>
      <c r="K1183" s="18" t="s">
        <v>2022</v>
      </c>
      <c r="L1183" s="19" t="str">
        <f t="shared" si="37"/>
        <v>Regular Customer</v>
      </c>
    </row>
    <row r="1184" spans="1:12" ht="15.75" customHeight="1" x14ac:dyDescent="0.3">
      <c r="A1184" s="7">
        <v>45627</v>
      </c>
      <c r="B1184" s="8" t="s">
        <v>427</v>
      </c>
      <c r="C1184" s="8" t="s">
        <v>8</v>
      </c>
      <c r="D1184" s="8" t="s">
        <v>16</v>
      </c>
      <c r="E1184" s="9">
        <v>18.329999999999998</v>
      </c>
      <c r="F1184" s="8" t="s">
        <v>11</v>
      </c>
      <c r="G1184" s="8">
        <v>36.659999999999997</v>
      </c>
      <c r="H1184" s="10">
        <f t="shared" si="36"/>
        <v>12</v>
      </c>
      <c r="I1184" s="10">
        <f>YEAR(Sheet1!$A1184)</f>
        <v>2024</v>
      </c>
      <c r="J1184" s="10">
        <f>DAY(Sheet1!$A1184)</f>
        <v>1</v>
      </c>
      <c r="K1184" s="12" t="s">
        <v>2023</v>
      </c>
      <c r="L1184" s="13" t="str">
        <f t="shared" si="37"/>
        <v>Regular Customer</v>
      </c>
    </row>
    <row r="1185" spans="1:12" ht="15.75" customHeight="1" x14ac:dyDescent="0.3">
      <c r="A1185" s="14">
        <v>45639</v>
      </c>
      <c r="B1185" s="15" t="s">
        <v>681</v>
      </c>
      <c r="C1185" s="15" t="s">
        <v>18</v>
      </c>
      <c r="D1185" s="15" t="s">
        <v>16</v>
      </c>
      <c r="E1185" s="16">
        <v>12.22</v>
      </c>
      <c r="F1185" s="15" t="s">
        <v>10</v>
      </c>
      <c r="G1185" s="15">
        <v>36.659999999999997</v>
      </c>
      <c r="H1185" s="17">
        <f t="shared" si="36"/>
        <v>12</v>
      </c>
      <c r="I1185" s="17">
        <f>YEAR(Sheet1!$A1185)</f>
        <v>2024</v>
      </c>
      <c r="J1185" s="17">
        <f>DAY(Sheet1!$A1185)</f>
        <v>13</v>
      </c>
      <c r="K1185" s="18" t="s">
        <v>2023</v>
      </c>
      <c r="L1185" s="19" t="str">
        <f t="shared" si="37"/>
        <v>Regular Customer</v>
      </c>
    </row>
    <row r="1186" spans="1:12" ht="15.75" customHeight="1" x14ac:dyDescent="0.3">
      <c r="A1186" s="7">
        <v>45777</v>
      </c>
      <c r="B1186" s="8" t="s">
        <v>1703</v>
      </c>
      <c r="C1186" s="8" t="s">
        <v>13</v>
      </c>
      <c r="D1186" s="8" t="s">
        <v>9</v>
      </c>
      <c r="E1186" s="9">
        <v>12.22</v>
      </c>
      <c r="F1186" s="8" t="s">
        <v>10</v>
      </c>
      <c r="G1186" s="8">
        <v>36.659999999999997</v>
      </c>
      <c r="H1186" s="10">
        <f t="shared" si="36"/>
        <v>4</v>
      </c>
      <c r="I1186" s="10">
        <f>YEAR(Sheet1!$A1186)</f>
        <v>2025</v>
      </c>
      <c r="J1186" s="10">
        <f>DAY(Sheet1!$A1186)</f>
        <v>30</v>
      </c>
      <c r="K1186" s="12" t="s">
        <v>2022</v>
      </c>
      <c r="L1186" s="13" t="str">
        <f t="shared" si="37"/>
        <v>Regular Customer</v>
      </c>
    </row>
    <row r="1187" spans="1:12" ht="15.75" customHeight="1" x14ac:dyDescent="0.3">
      <c r="A1187" s="14">
        <v>45510</v>
      </c>
      <c r="B1187" s="15" t="s">
        <v>213</v>
      </c>
      <c r="C1187" s="15" t="s">
        <v>18</v>
      </c>
      <c r="D1187" s="15" t="s">
        <v>9</v>
      </c>
      <c r="E1187" s="16">
        <v>18.34</v>
      </c>
      <c r="F1187" s="15" t="s">
        <v>10</v>
      </c>
      <c r="G1187" s="15">
        <v>36.68</v>
      </c>
      <c r="H1187" s="17">
        <f t="shared" si="36"/>
        <v>8</v>
      </c>
      <c r="I1187" s="17">
        <f>YEAR(Sheet1!$A1187)</f>
        <v>2024</v>
      </c>
      <c r="J1187" s="17">
        <f>DAY(Sheet1!$A1187)</f>
        <v>6</v>
      </c>
      <c r="K1187" s="18" t="s">
        <v>2023</v>
      </c>
      <c r="L1187" s="19" t="str">
        <f t="shared" si="37"/>
        <v>Regular Customer</v>
      </c>
    </row>
    <row r="1188" spans="1:12" ht="15.75" customHeight="1" x14ac:dyDescent="0.3">
      <c r="A1188" s="7">
        <v>45526</v>
      </c>
      <c r="B1188" s="8" t="s">
        <v>689</v>
      </c>
      <c r="C1188" s="8" t="s">
        <v>8</v>
      </c>
      <c r="D1188" s="8" t="s">
        <v>14</v>
      </c>
      <c r="E1188" s="9">
        <v>18.350000000000001</v>
      </c>
      <c r="F1188" s="8" t="s">
        <v>10</v>
      </c>
      <c r="G1188" s="8">
        <v>36.700000000000003</v>
      </c>
      <c r="H1188" s="10">
        <f t="shared" si="36"/>
        <v>8</v>
      </c>
      <c r="I1188" s="10">
        <f>YEAR(Sheet1!$A1188)</f>
        <v>2024</v>
      </c>
      <c r="J1188" s="10">
        <f>DAY(Sheet1!$A1188)</f>
        <v>22</v>
      </c>
      <c r="K1188" s="12" t="s">
        <v>2022</v>
      </c>
      <c r="L1188" s="13" t="str">
        <f t="shared" si="37"/>
        <v>Regular Customer</v>
      </c>
    </row>
    <row r="1189" spans="1:12" ht="15.75" customHeight="1" x14ac:dyDescent="0.3">
      <c r="A1189" s="14">
        <v>45432</v>
      </c>
      <c r="B1189" s="15" t="s">
        <v>462</v>
      </c>
      <c r="C1189" s="15" t="s">
        <v>24</v>
      </c>
      <c r="D1189" s="15" t="s">
        <v>9</v>
      </c>
      <c r="E1189" s="16">
        <v>18.37</v>
      </c>
      <c r="F1189" s="15" t="s">
        <v>11</v>
      </c>
      <c r="G1189" s="15">
        <v>36.74</v>
      </c>
      <c r="H1189" s="17">
        <f t="shared" si="36"/>
        <v>5</v>
      </c>
      <c r="I1189" s="17">
        <f>YEAR(Sheet1!$A1189)</f>
        <v>2024</v>
      </c>
      <c r="J1189" s="17">
        <f>DAY(Sheet1!$A1189)</f>
        <v>20</v>
      </c>
      <c r="K1189" s="18" t="s">
        <v>2023</v>
      </c>
      <c r="L1189" s="19" t="str">
        <f t="shared" si="37"/>
        <v>Regular Customer</v>
      </c>
    </row>
    <row r="1190" spans="1:12" ht="15.75" customHeight="1" x14ac:dyDescent="0.3">
      <c r="A1190" s="7">
        <v>45764</v>
      </c>
      <c r="B1190" s="8" t="s">
        <v>1550</v>
      </c>
      <c r="C1190" s="8" t="s">
        <v>18</v>
      </c>
      <c r="D1190" s="8" t="s">
        <v>16</v>
      </c>
      <c r="E1190" s="9">
        <v>18.420000000000002</v>
      </c>
      <c r="F1190" s="8" t="s">
        <v>11</v>
      </c>
      <c r="G1190" s="8">
        <v>36.840000000000003</v>
      </c>
      <c r="H1190" s="10">
        <f t="shared" si="36"/>
        <v>4</v>
      </c>
      <c r="I1190" s="10">
        <f>YEAR(Sheet1!$A1190)</f>
        <v>2025</v>
      </c>
      <c r="J1190" s="10">
        <f>DAY(Sheet1!$A1190)</f>
        <v>17</v>
      </c>
      <c r="K1190" s="12" t="s">
        <v>2022</v>
      </c>
      <c r="L1190" s="13" t="str">
        <f t="shared" si="37"/>
        <v>Regular Customer</v>
      </c>
    </row>
    <row r="1191" spans="1:12" ht="15.75" customHeight="1" x14ac:dyDescent="0.3">
      <c r="A1191" s="14">
        <v>45530</v>
      </c>
      <c r="B1191" s="15" t="s">
        <v>252</v>
      </c>
      <c r="C1191" s="15" t="s">
        <v>8</v>
      </c>
      <c r="D1191" s="15" t="s">
        <v>14</v>
      </c>
      <c r="E1191" s="16">
        <v>12.34</v>
      </c>
      <c r="F1191" s="15" t="s">
        <v>11</v>
      </c>
      <c r="G1191" s="15">
        <v>37.020000000000003</v>
      </c>
      <c r="H1191" s="17">
        <f t="shared" si="36"/>
        <v>8</v>
      </c>
      <c r="I1191" s="17">
        <f>YEAR(Sheet1!$A1191)</f>
        <v>2024</v>
      </c>
      <c r="J1191" s="17">
        <f>DAY(Sheet1!$A1191)</f>
        <v>26</v>
      </c>
      <c r="K1191" s="18" t="s">
        <v>2022</v>
      </c>
      <c r="L1191" s="19" t="str">
        <f t="shared" si="37"/>
        <v>Regular Customer</v>
      </c>
    </row>
    <row r="1192" spans="1:12" ht="15.75" customHeight="1" x14ac:dyDescent="0.3">
      <c r="A1192" s="7">
        <v>45464</v>
      </c>
      <c r="B1192" s="8" t="s">
        <v>326</v>
      </c>
      <c r="C1192" s="8" t="s">
        <v>18</v>
      </c>
      <c r="D1192" s="8" t="s">
        <v>16</v>
      </c>
      <c r="E1192" s="9">
        <v>12.35</v>
      </c>
      <c r="F1192" s="8" t="s">
        <v>11</v>
      </c>
      <c r="G1192" s="8">
        <v>37.049999999999997</v>
      </c>
      <c r="H1192" s="10">
        <f t="shared" si="36"/>
        <v>6</v>
      </c>
      <c r="I1192" s="10">
        <f>YEAR(Sheet1!$A1192)</f>
        <v>2024</v>
      </c>
      <c r="J1192" s="10">
        <f>DAY(Sheet1!$A1192)</f>
        <v>21</v>
      </c>
      <c r="K1192" s="12" t="s">
        <v>2023</v>
      </c>
      <c r="L1192" s="13" t="str">
        <f t="shared" si="37"/>
        <v>Regular Customer</v>
      </c>
    </row>
    <row r="1193" spans="1:12" ht="15.75" customHeight="1" x14ac:dyDescent="0.3">
      <c r="A1193" s="14">
        <v>45573</v>
      </c>
      <c r="B1193" s="15" t="s">
        <v>940</v>
      </c>
      <c r="C1193" s="15" t="s">
        <v>24</v>
      </c>
      <c r="D1193" s="15" t="s">
        <v>9</v>
      </c>
      <c r="E1193" s="16">
        <v>18.55</v>
      </c>
      <c r="F1193" s="15" t="s">
        <v>11</v>
      </c>
      <c r="G1193" s="15">
        <v>37.1</v>
      </c>
      <c r="H1193" s="17">
        <f t="shared" si="36"/>
        <v>10</v>
      </c>
      <c r="I1193" s="17">
        <f>YEAR(Sheet1!$A1193)</f>
        <v>2024</v>
      </c>
      <c r="J1193" s="17">
        <f>DAY(Sheet1!$A1193)</f>
        <v>8</v>
      </c>
      <c r="K1193" s="18" t="s">
        <v>2022</v>
      </c>
      <c r="L1193" s="19" t="str">
        <f t="shared" si="37"/>
        <v>Regular Customer</v>
      </c>
    </row>
    <row r="1194" spans="1:12" ht="15.75" customHeight="1" x14ac:dyDescent="0.3">
      <c r="A1194" s="7">
        <v>45539</v>
      </c>
      <c r="B1194" s="8" t="s">
        <v>410</v>
      </c>
      <c r="C1194" s="8" t="s">
        <v>8</v>
      </c>
      <c r="D1194" s="8" t="s">
        <v>16</v>
      </c>
      <c r="E1194" s="9">
        <v>12.39</v>
      </c>
      <c r="F1194" s="8" t="s">
        <v>10</v>
      </c>
      <c r="G1194" s="8">
        <v>37.17</v>
      </c>
      <c r="H1194" s="10">
        <f t="shared" si="36"/>
        <v>9</v>
      </c>
      <c r="I1194" s="10">
        <f>YEAR(Sheet1!$A1194)</f>
        <v>2024</v>
      </c>
      <c r="J1194" s="10">
        <f>DAY(Sheet1!$A1194)</f>
        <v>4</v>
      </c>
      <c r="K1194" s="12" t="s">
        <v>2023</v>
      </c>
      <c r="L1194" s="13" t="str">
        <f t="shared" si="37"/>
        <v>Regular Customer</v>
      </c>
    </row>
    <row r="1195" spans="1:12" ht="15.75" customHeight="1" x14ac:dyDescent="0.3">
      <c r="A1195" s="14">
        <v>45764</v>
      </c>
      <c r="B1195" s="15" t="s">
        <v>214</v>
      </c>
      <c r="C1195" s="15" t="s">
        <v>18</v>
      </c>
      <c r="D1195" s="15" t="s">
        <v>9</v>
      </c>
      <c r="E1195" s="16">
        <v>18.600000000000001</v>
      </c>
      <c r="F1195" s="15" t="s">
        <v>10</v>
      </c>
      <c r="G1195" s="15">
        <v>37.200000000000003</v>
      </c>
      <c r="H1195" s="17">
        <f t="shared" si="36"/>
        <v>4</v>
      </c>
      <c r="I1195" s="17">
        <f>YEAR(Sheet1!$A1195)</f>
        <v>2025</v>
      </c>
      <c r="J1195" s="17">
        <f>DAY(Sheet1!$A1195)</f>
        <v>17</v>
      </c>
      <c r="K1195" s="18" t="s">
        <v>2023</v>
      </c>
      <c r="L1195" s="19" t="str">
        <f t="shared" si="37"/>
        <v>Regular Customer</v>
      </c>
    </row>
    <row r="1196" spans="1:12" ht="15.75" customHeight="1" x14ac:dyDescent="0.3">
      <c r="A1196" s="7">
        <v>45566</v>
      </c>
      <c r="B1196" s="8" t="s">
        <v>1481</v>
      </c>
      <c r="C1196" s="8" t="s">
        <v>8</v>
      </c>
      <c r="D1196" s="8" t="s">
        <v>16</v>
      </c>
      <c r="E1196" s="9">
        <v>18.61</v>
      </c>
      <c r="F1196" s="8" t="s">
        <v>11</v>
      </c>
      <c r="G1196" s="8">
        <v>37.22</v>
      </c>
      <c r="H1196" s="10">
        <f t="shared" si="36"/>
        <v>10</v>
      </c>
      <c r="I1196" s="10">
        <f>YEAR(Sheet1!$A1196)</f>
        <v>2024</v>
      </c>
      <c r="J1196" s="10">
        <f>DAY(Sheet1!$A1196)</f>
        <v>1</v>
      </c>
      <c r="K1196" s="12" t="s">
        <v>2023</v>
      </c>
      <c r="L1196" s="13" t="str">
        <f t="shared" si="37"/>
        <v>Regular Customer</v>
      </c>
    </row>
    <row r="1197" spans="1:12" ht="15.75" customHeight="1" x14ac:dyDescent="0.3">
      <c r="A1197" s="14">
        <v>45563</v>
      </c>
      <c r="B1197" s="15" t="s">
        <v>1067</v>
      </c>
      <c r="C1197" s="15" t="s">
        <v>18</v>
      </c>
      <c r="D1197" s="15" t="s">
        <v>19</v>
      </c>
      <c r="E1197" s="16">
        <v>18.64</v>
      </c>
      <c r="F1197" s="15" t="s">
        <v>11</v>
      </c>
      <c r="G1197" s="15">
        <v>37.28</v>
      </c>
      <c r="H1197" s="17">
        <f t="shared" si="36"/>
        <v>9</v>
      </c>
      <c r="I1197" s="17">
        <f>YEAR(Sheet1!$A1197)</f>
        <v>2024</v>
      </c>
      <c r="J1197" s="17">
        <f>DAY(Sheet1!$A1197)</f>
        <v>28</v>
      </c>
      <c r="K1197" s="18" t="s">
        <v>2023</v>
      </c>
      <c r="L1197" s="19" t="str">
        <f t="shared" si="37"/>
        <v>Regular Customer</v>
      </c>
    </row>
    <row r="1198" spans="1:12" ht="15.75" customHeight="1" x14ac:dyDescent="0.3">
      <c r="A1198" s="7">
        <v>45473</v>
      </c>
      <c r="B1198" s="8" t="s">
        <v>971</v>
      </c>
      <c r="C1198" s="8" t="s">
        <v>13</v>
      </c>
      <c r="D1198" s="8" t="s">
        <v>9</v>
      </c>
      <c r="E1198" s="9">
        <v>12.45</v>
      </c>
      <c r="F1198" s="8" t="s">
        <v>11</v>
      </c>
      <c r="G1198" s="8">
        <v>37.35</v>
      </c>
      <c r="H1198" s="10">
        <f t="shared" si="36"/>
        <v>6</v>
      </c>
      <c r="I1198" s="10">
        <f>YEAR(Sheet1!$A1198)</f>
        <v>2024</v>
      </c>
      <c r="J1198" s="10">
        <f>DAY(Sheet1!$A1198)</f>
        <v>30</v>
      </c>
      <c r="K1198" s="12" t="s">
        <v>2022</v>
      </c>
      <c r="L1198" s="13" t="str">
        <f t="shared" si="37"/>
        <v>Regular Customer</v>
      </c>
    </row>
    <row r="1199" spans="1:12" ht="15.75" customHeight="1" x14ac:dyDescent="0.3">
      <c r="A1199" s="14">
        <v>45667</v>
      </c>
      <c r="B1199" s="15" t="s">
        <v>1633</v>
      </c>
      <c r="C1199" s="15" t="s">
        <v>24</v>
      </c>
      <c r="D1199" s="15" t="s">
        <v>19</v>
      </c>
      <c r="E1199" s="16">
        <v>18.739999999999998</v>
      </c>
      <c r="F1199" s="15" t="s">
        <v>10</v>
      </c>
      <c r="G1199" s="15">
        <v>37.479999999999997</v>
      </c>
      <c r="H1199" s="17">
        <f t="shared" si="36"/>
        <v>1</v>
      </c>
      <c r="I1199" s="17">
        <f>YEAR(Sheet1!$A1199)</f>
        <v>2025</v>
      </c>
      <c r="J1199" s="17">
        <f>DAY(Sheet1!$A1199)</f>
        <v>10</v>
      </c>
      <c r="K1199" s="18" t="s">
        <v>2022</v>
      </c>
      <c r="L1199" s="19" t="str">
        <f t="shared" si="37"/>
        <v>Regular Customer</v>
      </c>
    </row>
    <row r="1200" spans="1:12" ht="15.75" customHeight="1" x14ac:dyDescent="0.3">
      <c r="A1200" s="7">
        <v>45447</v>
      </c>
      <c r="B1200" s="8" t="s">
        <v>771</v>
      </c>
      <c r="C1200" s="8" t="s">
        <v>24</v>
      </c>
      <c r="D1200" s="8" t="s">
        <v>16</v>
      </c>
      <c r="E1200" s="9">
        <v>18.75</v>
      </c>
      <c r="F1200" s="8" t="s">
        <v>11</v>
      </c>
      <c r="G1200" s="8">
        <v>37.5</v>
      </c>
      <c r="H1200" s="10">
        <f t="shared" si="36"/>
        <v>6</v>
      </c>
      <c r="I1200" s="10">
        <f>YEAR(Sheet1!$A1200)</f>
        <v>2024</v>
      </c>
      <c r="J1200" s="10">
        <f>DAY(Sheet1!$A1200)</f>
        <v>4</v>
      </c>
      <c r="K1200" s="12" t="s">
        <v>2023</v>
      </c>
      <c r="L1200" s="13" t="str">
        <f t="shared" si="37"/>
        <v>Regular Customer</v>
      </c>
    </row>
    <row r="1201" spans="1:12" ht="15.75" customHeight="1" x14ac:dyDescent="0.3">
      <c r="A1201" s="14">
        <v>45421</v>
      </c>
      <c r="B1201" s="15" t="s">
        <v>672</v>
      </c>
      <c r="C1201" s="15" t="s">
        <v>18</v>
      </c>
      <c r="D1201" s="15" t="s">
        <v>19</v>
      </c>
      <c r="E1201" s="16">
        <v>12.51</v>
      </c>
      <c r="F1201" s="15" t="s">
        <v>10</v>
      </c>
      <c r="G1201" s="15">
        <v>37.53</v>
      </c>
      <c r="H1201" s="17">
        <f t="shared" si="36"/>
        <v>5</v>
      </c>
      <c r="I1201" s="17">
        <f>YEAR(Sheet1!$A1201)</f>
        <v>2024</v>
      </c>
      <c r="J1201" s="17">
        <f>DAY(Sheet1!$A1201)</f>
        <v>9</v>
      </c>
      <c r="K1201" s="18" t="s">
        <v>2023</v>
      </c>
      <c r="L1201" s="19" t="str">
        <f t="shared" si="37"/>
        <v>Regular Customer</v>
      </c>
    </row>
    <row r="1202" spans="1:12" ht="15.75" customHeight="1" x14ac:dyDescent="0.3">
      <c r="A1202" s="7">
        <v>45417</v>
      </c>
      <c r="B1202" s="8" t="s">
        <v>827</v>
      </c>
      <c r="C1202" s="8" t="s">
        <v>8</v>
      </c>
      <c r="D1202" s="8" t="s">
        <v>9</v>
      </c>
      <c r="E1202" s="9">
        <v>18.78</v>
      </c>
      <c r="F1202" s="8" t="s">
        <v>10</v>
      </c>
      <c r="G1202" s="8">
        <v>37.56</v>
      </c>
      <c r="H1202" s="10">
        <f t="shared" si="36"/>
        <v>5</v>
      </c>
      <c r="I1202" s="10">
        <f>YEAR(Sheet1!$A1202)</f>
        <v>2024</v>
      </c>
      <c r="J1202" s="10">
        <f>DAY(Sheet1!$A1202)</f>
        <v>5</v>
      </c>
      <c r="K1202" s="12" t="s">
        <v>2022</v>
      </c>
      <c r="L1202" s="13" t="str">
        <f t="shared" si="37"/>
        <v>Regular Customer</v>
      </c>
    </row>
    <row r="1203" spans="1:12" ht="15.75" customHeight="1" x14ac:dyDescent="0.3">
      <c r="A1203" s="14">
        <v>45622</v>
      </c>
      <c r="B1203" s="15" t="s">
        <v>231</v>
      </c>
      <c r="C1203" s="15" t="s">
        <v>18</v>
      </c>
      <c r="D1203" s="15" t="s">
        <v>14</v>
      </c>
      <c r="E1203" s="16">
        <v>12.53</v>
      </c>
      <c r="F1203" s="15" t="s">
        <v>10</v>
      </c>
      <c r="G1203" s="15">
        <v>37.590000000000003</v>
      </c>
      <c r="H1203" s="17">
        <f t="shared" si="36"/>
        <v>11</v>
      </c>
      <c r="I1203" s="17">
        <f>YEAR(Sheet1!$A1203)</f>
        <v>2024</v>
      </c>
      <c r="J1203" s="17">
        <f>DAY(Sheet1!$A1203)</f>
        <v>26</v>
      </c>
      <c r="K1203" s="18" t="s">
        <v>2023</v>
      </c>
      <c r="L1203" s="19" t="str">
        <f t="shared" si="37"/>
        <v>Regular Customer</v>
      </c>
    </row>
    <row r="1204" spans="1:12" ht="15.75" customHeight="1" x14ac:dyDescent="0.3">
      <c r="A1204" s="7">
        <v>45635</v>
      </c>
      <c r="B1204" s="8" t="s">
        <v>177</v>
      </c>
      <c r="C1204" s="8" t="s">
        <v>24</v>
      </c>
      <c r="D1204" s="8" t="s">
        <v>16</v>
      </c>
      <c r="E1204" s="9">
        <v>18.809999999999999</v>
      </c>
      <c r="F1204" s="8" t="s">
        <v>11</v>
      </c>
      <c r="G1204" s="8">
        <v>37.619999999999997</v>
      </c>
      <c r="H1204" s="10">
        <f t="shared" si="36"/>
        <v>12</v>
      </c>
      <c r="I1204" s="10">
        <f>YEAR(Sheet1!$A1204)</f>
        <v>2024</v>
      </c>
      <c r="J1204" s="10">
        <f>DAY(Sheet1!$A1204)</f>
        <v>9</v>
      </c>
      <c r="K1204" s="12" t="s">
        <v>2023</v>
      </c>
      <c r="L1204" s="13" t="str">
        <f t="shared" si="37"/>
        <v>Regular Customer</v>
      </c>
    </row>
    <row r="1205" spans="1:12" ht="15.75" customHeight="1" x14ac:dyDescent="0.3">
      <c r="A1205" s="14">
        <v>45718</v>
      </c>
      <c r="B1205" s="15" t="s">
        <v>775</v>
      </c>
      <c r="C1205" s="15" t="s">
        <v>13</v>
      </c>
      <c r="D1205" s="15" t="s">
        <v>19</v>
      </c>
      <c r="E1205" s="16">
        <v>18.89</v>
      </c>
      <c r="F1205" s="15" t="s">
        <v>11</v>
      </c>
      <c r="G1205" s="15">
        <v>37.78</v>
      </c>
      <c r="H1205" s="17">
        <f t="shared" si="36"/>
        <v>3</v>
      </c>
      <c r="I1205" s="17">
        <f>YEAR(Sheet1!$A1205)</f>
        <v>2025</v>
      </c>
      <c r="J1205" s="17">
        <f>DAY(Sheet1!$A1205)</f>
        <v>2</v>
      </c>
      <c r="K1205" s="18" t="s">
        <v>2023</v>
      </c>
      <c r="L1205" s="19" t="str">
        <f t="shared" si="37"/>
        <v>Regular Customer</v>
      </c>
    </row>
    <row r="1206" spans="1:12" ht="15.75" customHeight="1" x14ac:dyDescent="0.3">
      <c r="A1206" s="7">
        <v>45567</v>
      </c>
      <c r="B1206" s="8" t="s">
        <v>1548</v>
      </c>
      <c r="C1206" s="8" t="s">
        <v>24</v>
      </c>
      <c r="D1206" s="8" t="s">
        <v>19</v>
      </c>
      <c r="E1206" s="9">
        <v>18.940000000000001</v>
      </c>
      <c r="F1206" s="8" t="s">
        <v>11</v>
      </c>
      <c r="G1206" s="8">
        <v>37.880000000000003</v>
      </c>
      <c r="H1206" s="10">
        <f t="shared" si="36"/>
        <v>10</v>
      </c>
      <c r="I1206" s="10">
        <f>YEAR(Sheet1!$A1206)</f>
        <v>2024</v>
      </c>
      <c r="J1206" s="10">
        <f>DAY(Sheet1!$A1206)</f>
        <v>2</v>
      </c>
      <c r="K1206" s="12" t="s">
        <v>2023</v>
      </c>
      <c r="L1206" s="13" t="str">
        <f t="shared" si="37"/>
        <v>Regular Customer</v>
      </c>
    </row>
    <row r="1207" spans="1:12" ht="15.75" customHeight="1" x14ac:dyDescent="0.3">
      <c r="A1207" s="14">
        <v>45503</v>
      </c>
      <c r="B1207" s="15" t="s">
        <v>258</v>
      </c>
      <c r="C1207" s="15" t="s">
        <v>8</v>
      </c>
      <c r="D1207" s="15" t="s">
        <v>16</v>
      </c>
      <c r="E1207" s="16">
        <v>18.97</v>
      </c>
      <c r="F1207" s="15" t="s">
        <v>11</v>
      </c>
      <c r="G1207" s="15">
        <v>37.94</v>
      </c>
      <c r="H1207" s="17">
        <f t="shared" si="36"/>
        <v>7</v>
      </c>
      <c r="I1207" s="17">
        <f>YEAR(Sheet1!$A1207)</f>
        <v>2024</v>
      </c>
      <c r="J1207" s="17">
        <f>DAY(Sheet1!$A1207)</f>
        <v>30</v>
      </c>
      <c r="K1207" s="18" t="s">
        <v>2022</v>
      </c>
      <c r="L1207" s="19" t="str">
        <f t="shared" si="37"/>
        <v>Regular Customer</v>
      </c>
    </row>
    <row r="1208" spans="1:12" ht="15.75" customHeight="1" x14ac:dyDescent="0.3">
      <c r="A1208" s="7">
        <v>45539</v>
      </c>
      <c r="B1208" s="8" t="s">
        <v>656</v>
      </c>
      <c r="C1208" s="8" t="s">
        <v>24</v>
      </c>
      <c r="D1208" s="8" t="s">
        <v>14</v>
      </c>
      <c r="E1208" s="9">
        <v>18.989999999999998</v>
      </c>
      <c r="F1208" s="8" t="s">
        <v>11</v>
      </c>
      <c r="G1208" s="8">
        <v>37.979999999999997</v>
      </c>
      <c r="H1208" s="10">
        <f t="shared" si="36"/>
        <v>9</v>
      </c>
      <c r="I1208" s="10">
        <f>YEAR(Sheet1!$A1208)</f>
        <v>2024</v>
      </c>
      <c r="J1208" s="10">
        <f>DAY(Sheet1!$A1208)</f>
        <v>4</v>
      </c>
      <c r="K1208" s="12" t="s">
        <v>2022</v>
      </c>
      <c r="L1208" s="13" t="str">
        <f t="shared" si="37"/>
        <v>Regular Customer</v>
      </c>
    </row>
    <row r="1209" spans="1:12" ht="15.75" customHeight="1" x14ac:dyDescent="0.3">
      <c r="A1209" s="14">
        <v>45552</v>
      </c>
      <c r="B1209" s="15" t="s">
        <v>110</v>
      </c>
      <c r="C1209" s="15" t="s">
        <v>8</v>
      </c>
      <c r="D1209" s="15" t="s">
        <v>9</v>
      </c>
      <c r="E1209" s="16">
        <v>19.010000000000002</v>
      </c>
      <c r="F1209" s="15" t="s">
        <v>10</v>
      </c>
      <c r="G1209" s="15">
        <v>38.020000000000003</v>
      </c>
      <c r="H1209" s="17">
        <f t="shared" si="36"/>
        <v>9</v>
      </c>
      <c r="I1209" s="17">
        <f>YEAR(Sheet1!$A1209)</f>
        <v>2024</v>
      </c>
      <c r="J1209" s="17">
        <f>DAY(Sheet1!$A1209)</f>
        <v>17</v>
      </c>
      <c r="K1209" s="18" t="s">
        <v>2023</v>
      </c>
      <c r="L1209" s="19" t="str">
        <f t="shared" si="37"/>
        <v>Regular Customer</v>
      </c>
    </row>
    <row r="1210" spans="1:12" ht="15.75" customHeight="1" x14ac:dyDescent="0.3">
      <c r="A1210" s="7">
        <v>45729</v>
      </c>
      <c r="B1210" s="8" t="s">
        <v>364</v>
      </c>
      <c r="C1210" s="8" t="s">
        <v>24</v>
      </c>
      <c r="D1210" s="8" t="s">
        <v>16</v>
      </c>
      <c r="E1210" s="9">
        <v>12.68</v>
      </c>
      <c r="F1210" s="8" t="s">
        <v>11</v>
      </c>
      <c r="G1210" s="8">
        <v>38.04</v>
      </c>
      <c r="H1210" s="10">
        <f t="shared" si="36"/>
        <v>3</v>
      </c>
      <c r="I1210" s="10">
        <f>YEAR(Sheet1!$A1210)</f>
        <v>2025</v>
      </c>
      <c r="J1210" s="10">
        <f>DAY(Sheet1!$A1210)</f>
        <v>13</v>
      </c>
      <c r="K1210" s="12" t="s">
        <v>2022</v>
      </c>
      <c r="L1210" s="13" t="str">
        <f t="shared" si="37"/>
        <v>Regular Customer</v>
      </c>
    </row>
    <row r="1211" spans="1:12" ht="15.75" customHeight="1" x14ac:dyDescent="0.3">
      <c r="A1211" s="14">
        <v>45546</v>
      </c>
      <c r="B1211" s="15" t="s">
        <v>1120</v>
      </c>
      <c r="C1211" s="15" t="s">
        <v>18</v>
      </c>
      <c r="D1211" s="15" t="s">
        <v>9</v>
      </c>
      <c r="E1211" s="16">
        <v>12.7</v>
      </c>
      <c r="F1211" s="15" t="s">
        <v>10</v>
      </c>
      <c r="G1211" s="15">
        <v>38.1</v>
      </c>
      <c r="H1211" s="17">
        <f t="shared" si="36"/>
        <v>9</v>
      </c>
      <c r="I1211" s="17">
        <f>YEAR(Sheet1!$A1211)</f>
        <v>2024</v>
      </c>
      <c r="J1211" s="17">
        <f>DAY(Sheet1!$A1211)</f>
        <v>11</v>
      </c>
      <c r="K1211" s="18" t="s">
        <v>2023</v>
      </c>
      <c r="L1211" s="19" t="str">
        <f t="shared" si="37"/>
        <v>Regular Customer</v>
      </c>
    </row>
    <row r="1212" spans="1:12" ht="15.75" customHeight="1" x14ac:dyDescent="0.3">
      <c r="A1212" s="7">
        <v>45444</v>
      </c>
      <c r="B1212" s="8" t="s">
        <v>1387</v>
      </c>
      <c r="C1212" s="8" t="s">
        <v>13</v>
      </c>
      <c r="D1212" s="8" t="s">
        <v>16</v>
      </c>
      <c r="E1212" s="9">
        <v>19.11</v>
      </c>
      <c r="F1212" s="8" t="s">
        <v>10</v>
      </c>
      <c r="G1212" s="8">
        <v>38.22</v>
      </c>
      <c r="H1212" s="10">
        <f t="shared" si="36"/>
        <v>6</v>
      </c>
      <c r="I1212" s="10">
        <f>YEAR(Sheet1!$A1212)</f>
        <v>2024</v>
      </c>
      <c r="J1212" s="10">
        <f>DAY(Sheet1!$A1212)</f>
        <v>1</v>
      </c>
      <c r="K1212" s="12" t="s">
        <v>2023</v>
      </c>
      <c r="L1212" s="13" t="str">
        <f t="shared" si="37"/>
        <v>Regular Customer</v>
      </c>
    </row>
    <row r="1213" spans="1:12" ht="15.75" customHeight="1" x14ac:dyDescent="0.3">
      <c r="A1213" s="14">
        <v>45415</v>
      </c>
      <c r="B1213" s="15" t="s">
        <v>1255</v>
      </c>
      <c r="C1213" s="15" t="s">
        <v>13</v>
      </c>
      <c r="D1213" s="15" t="s">
        <v>14</v>
      </c>
      <c r="E1213" s="16">
        <v>19.16</v>
      </c>
      <c r="F1213" s="15" t="s">
        <v>11</v>
      </c>
      <c r="G1213" s="15">
        <v>38.32</v>
      </c>
      <c r="H1213" s="17">
        <f t="shared" si="36"/>
        <v>5</v>
      </c>
      <c r="I1213" s="17">
        <f>YEAR(Sheet1!$A1213)</f>
        <v>2024</v>
      </c>
      <c r="J1213" s="17">
        <f>DAY(Sheet1!$A1213)</f>
        <v>3</v>
      </c>
      <c r="K1213" s="18" t="s">
        <v>2023</v>
      </c>
      <c r="L1213" s="19" t="str">
        <f t="shared" si="37"/>
        <v>Regular Customer</v>
      </c>
    </row>
    <row r="1214" spans="1:12" ht="15.75" customHeight="1" x14ac:dyDescent="0.3">
      <c r="A1214" s="7">
        <v>45547</v>
      </c>
      <c r="B1214" s="8" t="s">
        <v>1606</v>
      </c>
      <c r="C1214" s="8" t="s">
        <v>8</v>
      </c>
      <c r="D1214" s="8" t="s">
        <v>19</v>
      </c>
      <c r="E1214" s="9">
        <v>19.16</v>
      </c>
      <c r="F1214" s="8" t="s">
        <v>11</v>
      </c>
      <c r="G1214" s="8">
        <v>38.32</v>
      </c>
      <c r="H1214" s="10">
        <f t="shared" si="36"/>
        <v>9</v>
      </c>
      <c r="I1214" s="10">
        <f>YEAR(Sheet1!$A1214)</f>
        <v>2024</v>
      </c>
      <c r="J1214" s="10">
        <f>DAY(Sheet1!$A1214)</f>
        <v>12</v>
      </c>
      <c r="K1214" s="12" t="s">
        <v>2023</v>
      </c>
      <c r="L1214" s="13" t="str">
        <f t="shared" si="37"/>
        <v>Regular Customer</v>
      </c>
    </row>
    <row r="1215" spans="1:12" ht="15.75" customHeight="1" x14ac:dyDescent="0.3">
      <c r="A1215" s="14">
        <v>45630</v>
      </c>
      <c r="B1215" s="15" t="s">
        <v>1434</v>
      </c>
      <c r="C1215" s="15" t="s">
        <v>24</v>
      </c>
      <c r="D1215" s="15" t="s">
        <v>14</v>
      </c>
      <c r="E1215" s="16">
        <v>19.18</v>
      </c>
      <c r="F1215" s="15" t="s">
        <v>10</v>
      </c>
      <c r="G1215" s="15">
        <v>38.36</v>
      </c>
      <c r="H1215" s="17">
        <f t="shared" si="36"/>
        <v>12</v>
      </c>
      <c r="I1215" s="17">
        <f>YEAR(Sheet1!$A1215)</f>
        <v>2024</v>
      </c>
      <c r="J1215" s="17">
        <f>DAY(Sheet1!$A1215)</f>
        <v>4</v>
      </c>
      <c r="K1215" s="18" t="s">
        <v>2022</v>
      </c>
      <c r="L1215" s="19" t="str">
        <f t="shared" si="37"/>
        <v>Regular Customer</v>
      </c>
    </row>
    <row r="1216" spans="1:12" ht="15.75" customHeight="1" x14ac:dyDescent="0.3">
      <c r="A1216" s="7">
        <v>45503</v>
      </c>
      <c r="B1216" s="8" t="s">
        <v>321</v>
      </c>
      <c r="C1216" s="8" t="s">
        <v>8</v>
      </c>
      <c r="D1216" s="8" t="s">
        <v>14</v>
      </c>
      <c r="E1216" s="9">
        <v>12.79</v>
      </c>
      <c r="F1216" s="8" t="s">
        <v>10</v>
      </c>
      <c r="G1216" s="8">
        <v>38.369999999999997</v>
      </c>
      <c r="H1216" s="10">
        <f t="shared" si="36"/>
        <v>7</v>
      </c>
      <c r="I1216" s="10">
        <f>YEAR(Sheet1!$A1216)</f>
        <v>2024</v>
      </c>
      <c r="J1216" s="10">
        <f>DAY(Sheet1!$A1216)</f>
        <v>30</v>
      </c>
      <c r="K1216" s="12" t="s">
        <v>2023</v>
      </c>
      <c r="L1216" s="13" t="str">
        <f t="shared" si="37"/>
        <v>Regular Customer</v>
      </c>
    </row>
    <row r="1217" spans="1:12" ht="15.75" customHeight="1" x14ac:dyDescent="0.3">
      <c r="A1217" s="14">
        <v>45456</v>
      </c>
      <c r="B1217" s="15" t="s">
        <v>352</v>
      </c>
      <c r="C1217" s="15" t="s">
        <v>24</v>
      </c>
      <c r="D1217" s="15" t="s">
        <v>16</v>
      </c>
      <c r="E1217" s="16">
        <v>19.260000000000002</v>
      </c>
      <c r="F1217" s="15" t="s">
        <v>11</v>
      </c>
      <c r="G1217" s="15">
        <v>38.520000000000003</v>
      </c>
      <c r="H1217" s="17">
        <f t="shared" si="36"/>
        <v>6</v>
      </c>
      <c r="I1217" s="17">
        <f>YEAR(Sheet1!$A1217)</f>
        <v>2024</v>
      </c>
      <c r="J1217" s="17">
        <f>DAY(Sheet1!$A1217)</f>
        <v>13</v>
      </c>
      <c r="K1217" s="18" t="s">
        <v>2023</v>
      </c>
      <c r="L1217" s="19" t="str">
        <f t="shared" si="37"/>
        <v>Regular Customer</v>
      </c>
    </row>
    <row r="1218" spans="1:12" ht="15.75" customHeight="1" x14ac:dyDescent="0.3">
      <c r="A1218" s="7">
        <v>45651</v>
      </c>
      <c r="B1218" s="8" t="s">
        <v>1418</v>
      </c>
      <c r="C1218" s="8" t="s">
        <v>24</v>
      </c>
      <c r="D1218" s="8" t="s">
        <v>9</v>
      </c>
      <c r="E1218" s="9">
        <v>19.260000000000002</v>
      </c>
      <c r="F1218" s="8" t="s">
        <v>10</v>
      </c>
      <c r="G1218" s="8">
        <v>38.520000000000003</v>
      </c>
      <c r="H1218" s="10">
        <f t="shared" ref="H1218:H1281" si="38">MONTH(A1218)</f>
        <v>12</v>
      </c>
      <c r="I1218" s="10">
        <f>YEAR(Sheet1!$A1218)</f>
        <v>2024</v>
      </c>
      <c r="J1218" s="10">
        <f>DAY(Sheet1!$A1218)</f>
        <v>25</v>
      </c>
      <c r="K1218" s="12" t="s">
        <v>2022</v>
      </c>
      <c r="L1218" s="13" t="str">
        <f t="shared" ref="L1218:L1281" si="39">IF(G1218&gt;50,"Premium Customer","Regular Customer")</f>
        <v>Regular Customer</v>
      </c>
    </row>
    <row r="1219" spans="1:12" ht="15.75" customHeight="1" x14ac:dyDescent="0.3">
      <c r="A1219" s="14">
        <v>45712</v>
      </c>
      <c r="B1219" s="15" t="s">
        <v>415</v>
      </c>
      <c r="C1219" s="15" t="s">
        <v>8</v>
      </c>
      <c r="D1219" s="15" t="s">
        <v>9</v>
      </c>
      <c r="E1219" s="16">
        <v>19.29</v>
      </c>
      <c r="F1219" s="15" t="s">
        <v>11</v>
      </c>
      <c r="G1219" s="15">
        <v>38.58</v>
      </c>
      <c r="H1219" s="17">
        <f t="shared" si="38"/>
        <v>2</v>
      </c>
      <c r="I1219" s="17">
        <f>YEAR(Sheet1!$A1219)</f>
        <v>2025</v>
      </c>
      <c r="J1219" s="17">
        <f>DAY(Sheet1!$A1219)</f>
        <v>24</v>
      </c>
      <c r="K1219" s="18" t="s">
        <v>2022</v>
      </c>
      <c r="L1219" s="19" t="str">
        <f t="shared" si="39"/>
        <v>Regular Customer</v>
      </c>
    </row>
    <row r="1220" spans="1:12" ht="15.75" customHeight="1" x14ac:dyDescent="0.3">
      <c r="A1220" s="7">
        <v>45765</v>
      </c>
      <c r="B1220" s="8" t="s">
        <v>947</v>
      </c>
      <c r="C1220" s="8" t="s">
        <v>24</v>
      </c>
      <c r="D1220" s="8" t="s">
        <v>16</v>
      </c>
      <c r="E1220" s="9">
        <v>12.86</v>
      </c>
      <c r="F1220" s="8" t="s">
        <v>10</v>
      </c>
      <c r="G1220" s="8">
        <v>38.58</v>
      </c>
      <c r="H1220" s="10">
        <f t="shared" si="38"/>
        <v>4</v>
      </c>
      <c r="I1220" s="10">
        <f>YEAR(Sheet1!$A1220)</f>
        <v>2025</v>
      </c>
      <c r="J1220" s="10">
        <f>DAY(Sheet1!$A1220)</f>
        <v>18</v>
      </c>
      <c r="K1220" s="12" t="s">
        <v>2022</v>
      </c>
      <c r="L1220" s="13" t="str">
        <f t="shared" si="39"/>
        <v>Regular Customer</v>
      </c>
    </row>
    <row r="1221" spans="1:12" ht="15.75" customHeight="1" x14ac:dyDescent="0.3">
      <c r="A1221" s="14">
        <v>45769</v>
      </c>
      <c r="B1221" s="15" t="s">
        <v>1388</v>
      </c>
      <c r="C1221" s="15" t="s">
        <v>24</v>
      </c>
      <c r="D1221" s="15" t="s">
        <v>16</v>
      </c>
      <c r="E1221" s="16">
        <v>12.86</v>
      </c>
      <c r="F1221" s="15" t="s">
        <v>10</v>
      </c>
      <c r="G1221" s="15">
        <v>38.58</v>
      </c>
      <c r="H1221" s="17">
        <f t="shared" si="38"/>
        <v>4</v>
      </c>
      <c r="I1221" s="17">
        <f>YEAR(Sheet1!$A1221)</f>
        <v>2025</v>
      </c>
      <c r="J1221" s="17">
        <f>DAY(Sheet1!$A1221)</f>
        <v>22</v>
      </c>
      <c r="K1221" s="18" t="s">
        <v>2022</v>
      </c>
      <c r="L1221" s="19" t="str">
        <f t="shared" si="39"/>
        <v>Regular Customer</v>
      </c>
    </row>
    <row r="1222" spans="1:12" ht="15.75" customHeight="1" x14ac:dyDescent="0.3">
      <c r="A1222" s="7">
        <v>45711</v>
      </c>
      <c r="B1222" s="8" t="s">
        <v>722</v>
      </c>
      <c r="C1222" s="8" t="s">
        <v>8</v>
      </c>
      <c r="D1222" s="8" t="s">
        <v>14</v>
      </c>
      <c r="E1222" s="9">
        <v>19.34</v>
      </c>
      <c r="F1222" s="8" t="s">
        <v>10</v>
      </c>
      <c r="G1222" s="8">
        <v>38.68</v>
      </c>
      <c r="H1222" s="10">
        <f t="shared" si="38"/>
        <v>2</v>
      </c>
      <c r="I1222" s="10">
        <f>YEAR(Sheet1!$A1222)</f>
        <v>2025</v>
      </c>
      <c r="J1222" s="10">
        <f>DAY(Sheet1!$A1222)</f>
        <v>23</v>
      </c>
      <c r="K1222" s="12" t="s">
        <v>2023</v>
      </c>
      <c r="L1222" s="13" t="str">
        <f t="shared" si="39"/>
        <v>Regular Customer</v>
      </c>
    </row>
    <row r="1223" spans="1:12" ht="15.75" customHeight="1" x14ac:dyDescent="0.3">
      <c r="A1223" s="14">
        <v>45489</v>
      </c>
      <c r="B1223" s="15" t="s">
        <v>881</v>
      </c>
      <c r="C1223" s="15" t="s">
        <v>8</v>
      </c>
      <c r="D1223" s="15" t="s">
        <v>14</v>
      </c>
      <c r="E1223" s="16">
        <v>12.9</v>
      </c>
      <c r="F1223" s="15" t="s">
        <v>11</v>
      </c>
      <c r="G1223" s="15">
        <v>38.700000000000003</v>
      </c>
      <c r="H1223" s="17">
        <f t="shared" si="38"/>
        <v>7</v>
      </c>
      <c r="I1223" s="17">
        <f>YEAR(Sheet1!$A1223)</f>
        <v>2024</v>
      </c>
      <c r="J1223" s="17">
        <f>DAY(Sheet1!$A1223)</f>
        <v>16</v>
      </c>
      <c r="K1223" s="18" t="s">
        <v>2023</v>
      </c>
      <c r="L1223" s="19" t="str">
        <f t="shared" si="39"/>
        <v>Regular Customer</v>
      </c>
    </row>
    <row r="1224" spans="1:12" ht="15.75" customHeight="1" x14ac:dyDescent="0.3">
      <c r="A1224" s="7">
        <v>45769</v>
      </c>
      <c r="B1224" s="8" t="s">
        <v>1690</v>
      </c>
      <c r="C1224" s="8" t="s">
        <v>13</v>
      </c>
      <c r="D1224" s="8" t="s">
        <v>16</v>
      </c>
      <c r="E1224" s="9">
        <v>19.36</v>
      </c>
      <c r="F1224" s="8" t="s">
        <v>11</v>
      </c>
      <c r="G1224" s="8">
        <v>38.72</v>
      </c>
      <c r="H1224" s="10">
        <f t="shared" si="38"/>
        <v>4</v>
      </c>
      <c r="I1224" s="10">
        <f>YEAR(Sheet1!$A1224)</f>
        <v>2025</v>
      </c>
      <c r="J1224" s="10">
        <f>DAY(Sheet1!$A1224)</f>
        <v>22</v>
      </c>
      <c r="K1224" s="12" t="s">
        <v>2023</v>
      </c>
      <c r="L1224" s="13" t="str">
        <f t="shared" si="39"/>
        <v>Regular Customer</v>
      </c>
    </row>
    <row r="1225" spans="1:12" ht="15.75" customHeight="1" x14ac:dyDescent="0.3">
      <c r="A1225" s="14">
        <v>45455</v>
      </c>
      <c r="B1225" s="15" t="s">
        <v>1232</v>
      </c>
      <c r="C1225" s="15" t="s">
        <v>13</v>
      </c>
      <c r="D1225" s="15" t="s">
        <v>16</v>
      </c>
      <c r="E1225" s="16">
        <v>12.92</v>
      </c>
      <c r="F1225" s="15" t="s">
        <v>11</v>
      </c>
      <c r="G1225" s="15">
        <v>38.76</v>
      </c>
      <c r="H1225" s="17">
        <f t="shared" si="38"/>
        <v>6</v>
      </c>
      <c r="I1225" s="17">
        <f>YEAR(Sheet1!$A1225)</f>
        <v>2024</v>
      </c>
      <c r="J1225" s="17">
        <f>DAY(Sheet1!$A1225)</f>
        <v>12</v>
      </c>
      <c r="K1225" s="18" t="s">
        <v>2022</v>
      </c>
      <c r="L1225" s="19" t="str">
        <f t="shared" si="39"/>
        <v>Regular Customer</v>
      </c>
    </row>
    <row r="1226" spans="1:12" ht="15.75" customHeight="1" x14ac:dyDescent="0.3">
      <c r="A1226" s="7">
        <v>45562</v>
      </c>
      <c r="B1226" s="8" t="s">
        <v>1039</v>
      </c>
      <c r="C1226" s="8" t="s">
        <v>24</v>
      </c>
      <c r="D1226" s="8" t="s">
        <v>16</v>
      </c>
      <c r="E1226" s="9">
        <v>19.38</v>
      </c>
      <c r="F1226" s="8" t="s">
        <v>11</v>
      </c>
      <c r="G1226" s="8">
        <v>38.76</v>
      </c>
      <c r="H1226" s="10">
        <f t="shared" si="38"/>
        <v>9</v>
      </c>
      <c r="I1226" s="10">
        <f>YEAR(Sheet1!$A1226)</f>
        <v>2024</v>
      </c>
      <c r="J1226" s="10">
        <f>DAY(Sheet1!$A1226)</f>
        <v>27</v>
      </c>
      <c r="K1226" s="12" t="s">
        <v>2022</v>
      </c>
      <c r="L1226" s="13" t="str">
        <f t="shared" si="39"/>
        <v>Regular Customer</v>
      </c>
    </row>
    <row r="1227" spans="1:12" ht="15.75" customHeight="1" x14ac:dyDescent="0.3">
      <c r="A1227" s="14">
        <v>45474</v>
      </c>
      <c r="B1227" s="15" t="s">
        <v>1960</v>
      </c>
      <c r="C1227" s="15" t="s">
        <v>18</v>
      </c>
      <c r="D1227" s="15" t="s">
        <v>9</v>
      </c>
      <c r="E1227" s="16">
        <v>19.41</v>
      </c>
      <c r="F1227" s="15" t="s">
        <v>11</v>
      </c>
      <c r="G1227" s="15">
        <v>38.82</v>
      </c>
      <c r="H1227" s="17">
        <f t="shared" si="38"/>
        <v>7</v>
      </c>
      <c r="I1227" s="17">
        <f>YEAR(Sheet1!$A1227)</f>
        <v>2024</v>
      </c>
      <c r="J1227" s="17">
        <f>DAY(Sheet1!$A1227)</f>
        <v>1</v>
      </c>
      <c r="K1227" s="18" t="s">
        <v>2023</v>
      </c>
      <c r="L1227" s="19" t="str">
        <f t="shared" si="39"/>
        <v>Regular Customer</v>
      </c>
    </row>
    <row r="1228" spans="1:12" ht="15.75" customHeight="1" x14ac:dyDescent="0.3">
      <c r="A1228" s="7">
        <v>45452</v>
      </c>
      <c r="B1228" s="8" t="s">
        <v>1412</v>
      </c>
      <c r="C1228" s="8" t="s">
        <v>24</v>
      </c>
      <c r="D1228" s="8" t="s">
        <v>16</v>
      </c>
      <c r="E1228" s="9">
        <v>19.43</v>
      </c>
      <c r="F1228" s="8" t="s">
        <v>10</v>
      </c>
      <c r="G1228" s="8">
        <v>38.86</v>
      </c>
      <c r="H1228" s="10">
        <f t="shared" si="38"/>
        <v>6</v>
      </c>
      <c r="I1228" s="10">
        <f>YEAR(Sheet1!$A1228)</f>
        <v>2024</v>
      </c>
      <c r="J1228" s="10">
        <f>DAY(Sheet1!$A1228)</f>
        <v>9</v>
      </c>
      <c r="K1228" s="12" t="s">
        <v>2023</v>
      </c>
      <c r="L1228" s="13" t="str">
        <f t="shared" si="39"/>
        <v>Regular Customer</v>
      </c>
    </row>
    <row r="1229" spans="1:12" ht="15.75" customHeight="1" x14ac:dyDescent="0.3">
      <c r="A1229" s="14">
        <v>45695</v>
      </c>
      <c r="B1229" s="15" t="s">
        <v>297</v>
      </c>
      <c r="C1229" s="15" t="s">
        <v>24</v>
      </c>
      <c r="D1229" s="15" t="s">
        <v>9</v>
      </c>
      <c r="E1229" s="16">
        <v>12.96</v>
      </c>
      <c r="F1229" s="15" t="s">
        <v>11</v>
      </c>
      <c r="G1229" s="15">
        <v>38.880000000000003</v>
      </c>
      <c r="H1229" s="17">
        <f t="shared" si="38"/>
        <v>2</v>
      </c>
      <c r="I1229" s="17">
        <f>YEAR(Sheet1!$A1229)</f>
        <v>2025</v>
      </c>
      <c r="J1229" s="17">
        <f>DAY(Sheet1!$A1229)</f>
        <v>7</v>
      </c>
      <c r="K1229" s="18" t="s">
        <v>2022</v>
      </c>
      <c r="L1229" s="19" t="str">
        <f t="shared" si="39"/>
        <v>Regular Customer</v>
      </c>
    </row>
    <row r="1230" spans="1:12" ht="15.75" customHeight="1" x14ac:dyDescent="0.3">
      <c r="A1230" s="7">
        <v>45599</v>
      </c>
      <c r="B1230" s="8" t="s">
        <v>442</v>
      </c>
      <c r="C1230" s="8" t="s">
        <v>8</v>
      </c>
      <c r="D1230" s="8" t="s">
        <v>9</v>
      </c>
      <c r="E1230" s="9">
        <v>19.489999999999998</v>
      </c>
      <c r="F1230" s="8" t="s">
        <v>10</v>
      </c>
      <c r="G1230" s="8">
        <v>38.979999999999997</v>
      </c>
      <c r="H1230" s="10">
        <f t="shared" si="38"/>
        <v>11</v>
      </c>
      <c r="I1230" s="10">
        <f>YEAR(Sheet1!$A1230)</f>
        <v>2024</v>
      </c>
      <c r="J1230" s="10">
        <f>DAY(Sheet1!$A1230)</f>
        <v>3</v>
      </c>
      <c r="K1230" s="12" t="s">
        <v>2022</v>
      </c>
      <c r="L1230" s="13" t="str">
        <f t="shared" si="39"/>
        <v>Regular Customer</v>
      </c>
    </row>
    <row r="1231" spans="1:12" ht="15.75" customHeight="1" x14ac:dyDescent="0.3">
      <c r="A1231" s="14">
        <v>45710</v>
      </c>
      <c r="B1231" s="15" t="s">
        <v>1024</v>
      </c>
      <c r="C1231" s="15" t="s">
        <v>18</v>
      </c>
      <c r="D1231" s="15" t="s">
        <v>16</v>
      </c>
      <c r="E1231" s="16">
        <v>13.01</v>
      </c>
      <c r="F1231" s="15" t="s">
        <v>11</v>
      </c>
      <c r="G1231" s="15">
        <v>39.03</v>
      </c>
      <c r="H1231" s="17">
        <f t="shared" si="38"/>
        <v>2</v>
      </c>
      <c r="I1231" s="17">
        <f>YEAR(Sheet1!$A1231)</f>
        <v>2025</v>
      </c>
      <c r="J1231" s="17">
        <f>DAY(Sheet1!$A1231)</f>
        <v>22</v>
      </c>
      <c r="K1231" s="18" t="s">
        <v>2023</v>
      </c>
      <c r="L1231" s="19" t="str">
        <f t="shared" si="39"/>
        <v>Regular Customer</v>
      </c>
    </row>
    <row r="1232" spans="1:12" ht="15.75" customHeight="1" x14ac:dyDescent="0.3">
      <c r="A1232" s="7">
        <v>45760</v>
      </c>
      <c r="B1232" s="8" t="s">
        <v>150</v>
      </c>
      <c r="C1232" s="8" t="s">
        <v>24</v>
      </c>
      <c r="D1232" s="8" t="s">
        <v>19</v>
      </c>
      <c r="E1232" s="9">
        <v>19.52</v>
      </c>
      <c r="F1232" s="8" t="s">
        <v>11</v>
      </c>
      <c r="G1232" s="8">
        <v>39.04</v>
      </c>
      <c r="H1232" s="10">
        <f t="shared" si="38"/>
        <v>4</v>
      </c>
      <c r="I1232" s="10">
        <f>YEAR(Sheet1!$A1232)</f>
        <v>2025</v>
      </c>
      <c r="J1232" s="10">
        <f>DAY(Sheet1!$A1232)</f>
        <v>13</v>
      </c>
      <c r="K1232" s="12" t="s">
        <v>2023</v>
      </c>
      <c r="L1232" s="13" t="str">
        <f t="shared" si="39"/>
        <v>Regular Customer</v>
      </c>
    </row>
    <row r="1233" spans="1:12" ht="15.75" customHeight="1" x14ac:dyDescent="0.3">
      <c r="A1233" s="14">
        <v>45429</v>
      </c>
      <c r="B1233" s="15" t="s">
        <v>1857</v>
      </c>
      <c r="C1233" s="15" t="s">
        <v>13</v>
      </c>
      <c r="D1233" s="15" t="s">
        <v>16</v>
      </c>
      <c r="E1233" s="16">
        <v>13.05</v>
      </c>
      <c r="F1233" s="15" t="s">
        <v>10</v>
      </c>
      <c r="G1233" s="15">
        <v>39.15</v>
      </c>
      <c r="H1233" s="17">
        <f t="shared" si="38"/>
        <v>5</v>
      </c>
      <c r="I1233" s="17">
        <f>YEAR(Sheet1!$A1233)</f>
        <v>2024</v>
      </c>
      <c r="J1233" s="17">
        <f>DAY(Sheet1!$A1233)</f>
        <v>17</v>
      </c>
      <c r="K1233" s="18" t="s">
        <v>2022</v>
      </c>
      <c r="L1233" s="19" t="str">
        <f t="shared" si="39"/>
        <v>Regular Customer</v>
      </c>
    </row>
    <row r="1234" spans="1:12" ht="15.75" customHeight="1" x14ac:dyDescent="0.3">
      <c r="A1234" s="7">
        <v>45669</v>
      </c>
      <c r="B1234" s="8" t="s">
        <v>60</v>
      </c>
      <c r="C1234" s="8" t="s">
        <v>18</v>
      </c>
      <c r="D1234" s="8" t="s">
        <v>16</v>
      </c>
      <c r="E1234" s="9">
        <v>13.05</v>
      </c>
      <c r="F1234" s="8" t="s">
        <v>11</v>
      </c>
      <c r="G1234" s="8">
        <v>39.15</v>
      </c>
      <c r="H1234" s="10">
        <f t="shared" si="38"/>
        <v>1</v>
      </c>
      <c r="I1234" s="10">
        <f>YEAR(Sheet1!$A1234)</f>
        <v>2025</v>
      </c>
      <c r="J1234" s="10">
        <f>DAY(Sheet1!$A1234)</f>
        <v>12</v>
      </c>
      <c r="K1234" s="12" t="s">
        <v>2023</v>
      </c>
      <c r="L1234" s="13" t="str">
        <f t="shared" si="39"/>
        <v>Regular Customer</v>
      </c>
    </row>
    <row r="1235" spans="1:12" ht="15.75" customHeight="1" x14ac:dyDescent="0.3">
      <c r="A1235" s="14">
        <v>45621</v>
      </c>
      <c r="B1235" s="15" t="s">
        <v>1092</v>
      </c>
      <c r="C1235" s="15" t="s">
        <v>24</v>
      </c>
      <c r="D1235" s="15" t="s">
        <v>16</v>
      </c>
      <c r="E1235" s="16">
        <v>13.06</v>
      </c>
      <c r="F1235" s="15" t="s">
        <v>10</v>
      </c>
      <c r="G1235" s="15">
        <v>39.18</v>
      </c>
      <c r="H1235" s="17">
        <f t="shared" si="38"/>
        <v>11</v>
      </c>
      <c r="I1235" s="17">
        <f>YEAR(Sheet1!$A1235)</f>
        <v>2024</v>
      </c>
      <c r="J1235" s="17">
        <f>DAY(Sheet1!$A1235)</f>
        <v>25</v>
      </c>
      <c r="K1235" s="18" t="s">
        <v>2022</v>
      </c>
      <c r="L1235" s="19" t="str">
        <f t="shared" si="39"/>
        <v>Regular Customer</v>
      </c>
    </row>
    <row r="1236" spans="1:12" ht="15.75" customHeight="1" x14ac:dyDescent="0.3">
      <c r="A1236" s="7">
        <v>45635</v>
      </c>
      <c r="B1236" s="8" t="s">
        <v>35</v>
      </c>
      <c r="C1236" s="8" t="s">
        <v>8</v>
      </c>
      <c r="D1236" s="8" t="s">
        <v>14</v>
      </c>
      <c r="E1236" s="9">
        <v>19.66</v>
      </c>
      <c r="F1236" s="8" t="s">
        <v>11</v>
      </c>
      <c r="G1236" s="8">
        <v>39.32</v>
      </c>
      <c r="H1236" s="10">
        <f t="shared" si="38"/>
        <v>12</v>
      </c>
      <c r="I1236" s="10">
        <f>YEAR(Sheet1!$A1236)</f>
        <v>2024</v>
      </c>
      <c r="J1236" s="10">
        <f>DAY(Sheet1!$A1236)</f>
        <v>9</v>
      </c>
      <c r="K1236" s="12" t="s">
        <v>2022</v>
      </c>
      <c r="L1236" s="13" t="str">
        <f t="shared" si="39"/>
        <v>Regular Customer</v>
      </c>
    </row>
    <row r="1237" spans="1:12" ht="15.75" customHeight="1" x14ac:dyDescent="0.3">
      <c r="A1237" s="14">
        <v>45500</v>
      </c>
      <c r="B1237" s="15" t="s">
        <v>1715</v>
      </c>
      <c r="C1237" s="15" t="s">
        <v>18</v>
      </c>
      <c r="D1237" s="15" t="s">
        <v>19</v>
      </c>
      <c r="E1237" s="16">
        <v>19.690000000000001</v>
      </c>
      <c r="F1237" s="15" t="s">
        <v>10</v>
      </c>
      <c r="G1237" s="15">
        <v>39.380000000000003</v>
      </c>
      <c r="H1237" s="17">
        <f t="shared" si="38"/>
        <v>7</v>
      </c>
      <c r="I1237" s="17">
        <f>YEAR(Sheet1!$A1237)</f>
        <v>2024</v>
      </c>
      <c r="J1237" s="17">
        <f>DAY(Sheet1!$A1237)</f>
        <v>27</v>
      </c>
      <c r="K1237" s="18" t="s">
        <v>2023</v>
      </c>
      <c r="L1237" s="19" t="str">
        <f t="shared" si="39"/>
        <v>Regular Customer</v>
      </c>
    </row>
    <row r="1238" spans="1:12" ht="15.75" customHeight="1" x14ac:dyDescent="0.3">
      <c r="A1238" s="7">
        <v>45651</v>
      </c>
      <c r="B1238" s="8" t="s">
        <v>855</v>
      </c>
      <c r="C1238" s="8" t="s">
        <v>13</v>
      </c>
      <c r="D1238" s="8" t="s">
        <v>14</v>
      </c>
      <c r="E1238" s="9">
        <v>19.690000000000001</v>
      </c>
      <c r="F1238" s="8" t="s">
        <v>11</v>
      </c>
      <c r="G1238" s="8">
        <v>39.380000000000003</v>
      </c>
      <c r="H1238" s="10">
        <f t="shared" si="38"/>
        <v>12</v>
      </c>
      <c r="I1238" s="10">
        <f>YEAR(Sheet1!$A1238)</f>
        <v>2024</v>
      </c>
      <c r="J1238" s="10">
        <f>DAY(Sheet1!$A1238)</f>
        <v>25</v>
      </c>
      <c r="K1238" s="12" t="s">
        <v>2022</v>
      </c>
      <c r="L1238" s="13" t="str">
        <f t="shared" si="39"/>
        <v>Regular Customer</v>
      </c>
    </row>
    <row r="1239" spans="1:12" ht="15.75" customHeight="1" x14ac:dyDescent="0.3">
      <c r="A1239" s="14">
        <v>45689</v>
      </c>
      <c r="B1239" s="15" t="s">
        <v>1214</v>
      </c>
      <c r="C1239" s="15" t="s">
        <v>18</v>
      </c>
      <c r="D1239" s="15" t="s">
        <v>19</v>
      </c>
      <c r="E1239" s="16">
        <v>19.7</v>
      </c>
      <c r="F1239" s="15" t="s">
        <v>10</v>
      </c>
      <c r="G1239" s="15">
        <v>39.4</v>
      </c>
      <c r="H1239" s="17">
        <f t="shared" si="38"/>
        <v>2</v>
      </c>
      <c r="I1239" s="17">
        <f>YEAR(Sheet1!$A1239)</f>
        <v>2025</v>
      </c>
      <c r="J1239" s="17">
        <f>DAY(Sheet1!$A1239)</f>
        <v>1</v>
      </c>
      <c r="K1239" s="18" t="s">
        <v>2022</v>
      </c>
      <c r="L1239" s="19" t="str">
        <f t="shared" si="39"/>
        <v>Regular Customer</v>
      </c>
    </row>
    <row r="1240" spans="1:12" ht="15.75" customHeight="1" x14ac:dyDescent="0.3">
      <c r="A1240" s="7">
        <v>45578</v>
      </c>
      <c r="B1240" s="8" t="s">
        <v>1277</v>
      </c>
      <c r="C1240" s="8" t="s">
        <v>13</v>
      </c>
      <c r="D1240" s="8" t="s">
        <v>9</v>
      </c>
      <c r="E1240" s="9">
        <v>19.8</v>
      </c>
      <c r="F1240" s="8" t="s">
        <v>11</v>
      </c>
      <c r="G1240" s="8">
        <v>39.6</v>
      </c>
      <c r="H1240" s="10">
        <f t="shared" si="38"/>
        <v>10</v>
      </c>
      <c r="I1240" s="10">
        <f>YEAR(Sheet1!$A1240)</f>
        <v>2024</v>
      </c>
      <c r="J1240" s="10">
        <f>DAY(Sheet1!$A1240)</f>
        <v>13</v>
      </c>
      <c r="K1240" s="12" t="s">
        <v>2023</v>
      </c>
      <c r="L1240" s="13" t="str">
        <f t="shared" si="39"/>
        <v>Regular Customer</v>
      </c>
    </row>
    <row r="1241" spans="1:12" ht="15.75" customHeight="1" x14ac:dyDescent="0.3">
      <c r="A1241" s="14">
        <v>45744</v>
      </c>
      <c r="B1241" s="15" t="s">
        <v>1505</v>
      </c>
      <c r="C1241" s="15" t="s">
        <v>13</v>
      </c>
      <c r="D1241" s="15" t="s">
        <v>19</v>
      </c>
      <c r="E1241" s="16">
        <v>13.2</v>
      </c>
      <c r="F1241" s="15" t="s">
        <v>10</v>
      </c>
      <c r="G1241" s="15">
        <v>39.6</v>
      </c>
      <c r="H1241" s="17">
        <f t="shared" si="38"/>
        <v>3</v>
      </c>
      <c r="I1241" s="17">
        <f>YEAR(Sheet1!$A1241)</f>
        <v>2025</v>
      </c>
      <c r="J1241" s="17">
        <f>DAY(Sheet1!$A1241)</f>
        <v>28</v>
      </c>
      <c r="K1241" s="18" t="s">
        <v>2022</v>
      </c>
      <c r="L1241" s="19" t="str">
        <f t="shared" si="39"/>
        <v>Regular Customer</v>
      </c>
    </row>
    <row r="1242" spans="1:12" ht="15.75" customHeight="1" x14ac:dyDescent="0.3">
      <c r="A1242" s="7">
        <v>45501</v>
      </c>
      <c r="B1242" s="8" t="s">
        <v>715</v>
      </c>
      <c r="C1242" s="8" t="s">
        <v>8</v>
      </c>
      <c r="D1242" s="8" t="s">
        <v>14</v>
      </c>
      <c r="E1242" s="9">
        <v>13.23</v>
      </c>
      <c r="F1242" s="8" t="s">
        <v>10</v>
      </c>
      <c r="G1242" s="8">
        <v>39.69</v>
      </c>
      <c r="H1242" s="10">
        <f t="shared" si="38"/>
        <v>7</v>
      </c>
      <c r="I1242" s="10">
        <f>YEAR(Sheet1!$A1242)</f>
        <v>2024</v>
      </c>
      <c r="J1242" s="10">
        <f>DAY(Sheet1!$A1242)</f>
        <v>28</v>
      </c>
      <c r="K1242" s="12" t="s">
        <v>2022</v>
      </c>
      <c r="L1242" s="13" t="str">
        <f t="shared" si="39"/>
        <v>Regular Customer</v>
      </c>
    </row>
    <row r="1243" spans="1:12" ht="15.75" customHeight="1" x14ac:dyDescent="0.3">
      <c r="A1243" s="14">
        <v>45733</v>
      </c>
      <c r="B1243" s="15" t="s">
        <v>1852</v>
      </c>
      <c r="C1243" s="15" t="s">
        <v>13</v>
      </c>
      <c r="D1243" s="15" t="s">
        <v>16</v>
      </c>
      <c r="E1243" s="16">
        <v>13.23</v>
      </c>
      <c r="F1243" s="15" t="s">
        <v>11</v>
      </c>
      <c r="G1243" s="15">
        <v>39.69</v>
      </c>
      <c r="H1243" s="17">
        <f t="shared" si="38"/>
        <v>3</v>
      </c>
      <c r="I1243" s="17">
        <f>YEAR(Sheet1!$A1243)</f>
        <v>2025</v>
      </c>
      <c r="J1243" s="17">
        <f>DAY(Sheet1!$A1243)</f>
        <v>17</v>
      </c>
      <c r="K1243" s="18" t="s">
        <v>2023</v>
      </c>
      <c r="L1243" s="19" t="str">
        <f t="shared" si="39"/>
        <v>Regular Customer</v>
      </c>
    </row>
    <row r="1244" spans="1:12" ht="15.75" customHeight="1" x14ac:dyDescent="0.3">
      <c r="A1244" s="7">
        <v>45414</v>
      </c>
      <c r="B1244" s="8" t="s">
        <v>1794</v>
      </c>
      <c r="C1244" s="8" t="s">
        <v>24</v>
      </c>
      <c r="D1244" s="8" t="s">
        <v>16</v>
      </c>
      <c r="E1244" s="9">
        <v>19.850000000000001</v>
      </c>
      <c r="F1244" s="8" t="s">
        <v>11</v>
      </c>
      <c r="G1244" s="8">
        <v>39.700000000000003</v>
      </c>
      <c r="H1244" s="10">
        <f t="shared" si="38"/>
        <v>5</v>
      </c>
      <c r="I1244" s="10">
        <f>YEAR(Sheet1!$A1244)</f>
        <v>2024</v>
      </c>
      <c r="J1244" s="10">
        <f>DAY(Sheet1!$A1244)</f>
        <v>2</v>
      </c>
      <c r="K1244" s="12" t="s">
        <v>2022</v>
      </c>
      <c r="L1244" s="13" t="str">
        <f t="shared" si="39"/>
        <v>Regular Customer</v>
      </c>
    </row>
    <row r="1245" spans="1:12" ht="15.75" customHeight="1" x14ac:dyDescent="0.3">
      <c r="A1245" s="14">
        <v>45445</v>
      </c>
      <c r="B1245" s="15" t="s">
        <v>409</v>
      </c>
      <c r="C1245" s="15" t="s">
        <v>24</v>
      </c>
      <c r="D1245" s="15" t="s">
        <v>19</v>
      </c>
      <c r="E1245" s="16">
        <v>19.850000000000001</v>
      </c>
      <c r="F1245" s="15" t="s">
        <v>10</v>
      </c>
      <c r="G1245" s="15">
        <v>39.700000000000003</v>
      </c>
      <c r="H1245" s="17">
        <f t="shared" si="38"/>
        <v>6</v>
      </c>
      <c r="I1245" s="17">
        <f>YEAR(Sheet1!$A1245)</f>
        <v>2024</v>
      </c>
      <c r="J1245" s="17">
        <f>DAY(Sheet1!$A1245)</f>
        <v>2</v>
      </c>
      <c r="K1245" s="18" t="s">
        <v>2022</v>
      </c>
      <c r="L1245" s="19" t="str">
        <f t="shared" si="39"/>
        <v>Regular Customer</v>
      </c>
    </row>
    <row r="1246" spans="1:12" ht="15.75" customHeight="1" x14ac:dyDescent="0.3">
      <c r="A1246" s="7">
        <v>45501</v>
      </c>
      <c r="B1246" s="8" t="s">
        <v>1509</v>
      </c>
      <c r="C1246" s="8" t="s">
        <v>13</v>
      </c>
      <c r="D1246" s="8" t="s">
        <v>9</v>
      </c>
      <c r="E1246" s="9">
        <v>19.920000000000002</v>
      </c>
      <c r="F1246" s="8" t="s">
        <v>10</v>
      </c>
      <c r="G1246" s="8">
        <v>39.840000000000003</v>
      </c>
      <c r="H1246" s="10">
        <f t="shared" si="38"/>
        <v>7</v>
      </c>
      <c r="I1246" s="10">
        <f>YEAR(Sheet1!$A1246)</f>
        <v>2024</v>
      </c>
      <c r="J1246" s="10">
        <f>DAY(Sheet1!$A1246)</f>
        <v>28</v>
      </c>
      <c r="K1246" s="12" t="s">
        <v>2023</v>
      </c>
      <c r="L1246" s="13" t="str">
        <f t="shared" si="39"/>
        <v>Regular Customer</v>
      </c>
    </row>
    <row r="1247" spans="1:12" ht="15.75" customHeight="1" x14ac:dyDescent="0.3">
      <c r="A1247" s="14">
        <v>45553</v>
      </c>
      <c r="B1247" s="15" t="s">
        <v>546</v>
      </c>
      <c r="C1247" s="15" t="s">
        <v>8</v>
      </c>
      <c r="D1247" s="15" t="s">
        <v>9</v>
      </c>
      <c r="E1247" s="16">
        <v>13.31</v>
      </c>
      <c r="F1247" s="15" t="s">
        <v>11</v>
      </c>
      <c r="G1247" s="15">
        <v>39.93</v>
      </c>
      <c r="H1247" s="17">
        <f t="shared" si="38"/>
        <v>9</v>
      </c>
      <c r="I1247" s="17">
        <f>YEAR(Sheet1!$A1247)</f>
        <v>2024</v>
      </c>
      <c r="J1247" s="17">
        <f>DAY(Sheet1!$A1247)</f>
        <v>18</v>
      </c>
      <c r="K1247" s="18" t="s">
        <v>2022</v>
      </c>
      <c r="L1247" s="19" t="str">
        <f t="shared" si="39"/>
        <v>Regular Customer</v>
      </c>
    </row>
    <row r="1248" spans="1:12" ht="15.75" customHeight="1" x14ac:dyDescent="0.3">
      <c r="A1248" s="7">
        <v>45692</v>
      </c>
      <c r="B1248" s="8" t="s">
        <v>31</v>
      </c>
      <c r="C1248" s="8" t="s">
        <v>18</v>
      </c>
      <c r="D1248" s="8" t="s">
        <v>14</v>
      </c>
      <c r="E1248" s="9">
        <v>19.989999999999998</v>
      </c>
      <c r="F1248" s="8" t="s">
        <v>11</v>
      </c>
      <c r="G1248" s="8">
        <v>39.979999999999997</v>
      </c>
      <c r="H1248" s="10">
        <f t="shared" si="38"/>
        <v>2</v>
      </c>
      <c r="I1248" s="10">
        <f>YEAR(Sheet1!$A1248)</f>
        <v>2025</v>
      </c>
      <c r="J1248" s="10">
        <f>DAY(Sheet1!$A1248)</f>
        <v>4</v>
      </c>
      <c r="K1248" s="12" t="s">
        <v>2022</v>
      </c>
      <c r="L1248" s="13" t="str">
        <f t="shared" si="39"/>
        <v>Regular Customer</v>
      </c>
    </row>
    <row r="1249" spans="1:12" ht="15.75" customHeight="1" x14ac:dyDescent="0.3">
      <c r="A1249" s="14">
        <v>45571</v>
      </c>
      <c r="B1249" s="15" t="s">
        <v>968</v>
      </c>
      <c r="C1249" s="15" t="s">
        <v>24</v>
      </c>
      <c r="D1249" s="15" t="s">
        <v>9</v>
      </c>
      <c r="E1249" s="16">
        <v>20.05</v>
      </c>
      <c r="F1249" s="15" t="s">
        <v>11</v>
      </c>
      <c r="G1249" s="15">
        <v>40.1</v>
      </c>
      <c r="H1249" s="17">
        <f t="shared" si="38"/>
        <v>10</v>
      </c>
      <c r="I1249" s="17">
        <f>YEAR(Sheet1!$A1249)</f>
        <v>2024</v>
      </c>
      <c r="J1249" s="17">
        <f>DAY(Sheet1!$A1249)</f>
        <v>6</v>
      </c>
      <c r="K1249" s="18" t="s">
        <v>2023</v>
      </c>
      <c r="L1249" s="19" t="str">
        <f t="shared" si="39"/>
        <v>Regular Customer</v>
      </c>
    </row>
    <row r="1250" spans="1:12" ht="15.75" customHeight="1" x14ac:dyDescent="0.3">
      <c r="A1250" s="7">
        <v>45702</v>
      </c>
      <c r="B1250" s="8" t="s">
        <v>1262</v>
      </c>
      <c r="C1250" s="8" t="s">
        <v>18</v>
      </c>
      <c r="D1250" s="8" t="s">
        <v>19</v>
      </c>
      <c r="E1250" s="9">
        <v>20.09</v>
      </c>
      <c r="F1250" s="8" t="s">
        <v>11</v>
      </c>
      <c r="G1250" s="8">
        <v>40.18</v>
      </c>
      <c r="H1250" s="10">
        <f t="shared" si="38"/>
        <v>2</v>
      </c>
      <c r="I1250" s="10">
        <f>YEAR(Sheet1!$A1250)</f>
        <v>2025</v>
      </c>
      <c r="J1250" s="10">
        <f>DAY(Sheet1!$A1250)</f>
        <v>14</v>
      </c>
      <c r="K1250" s="12" t="s">
        <v>2022</v>
      </c>
      <c r="L1250" s="13" t="str">
        <f t="shared" si="39"/>
        <v>Regular Customer</v>
      </c>
    </row>
    <row r="1251" spans="1:12" ht="15.75" customHeight="1" x14ac:dyDescent="0.3">
      <c r="A1251" s="14">
        <v>45447</v>
      </c>
      <c r="B1251" s="15" t="s">
        <v>654</v>
      </c>
      <c r="C1251" s="15" t="s">
        <v>8</v>
      </c>
      <c r="D1251" s="15" t="s">
        <v>19</v>
      </c>
      <c r="E1251" s="16">
        <v>13.4</v>
      </c>
      <c r="F1251" s="15" t="s">
        <v>11</v>
      </c>
      <c r="G1251" s="15">
        <v>40.200000000000003</v>
      </c>
      <c r="H1251" s="17">
        <f t="shared" si="38"/>
        <v>6</v>
      </c>
      <c r="I1251" s="17">
        <f>YEAR(Sheet1!$A1251)</f>
        <v>2024</v>
      </c>
      <c r="J1251" s="17">
        <f>DAY(Sheet1!$A1251)</f>
        <v>4</v>
      </c>
      <c r="K1251" s="18" t="s">
        <v>2023</v>
      </c>
      <c r="L1251" s="19" t="str">
        <f t="shared" si="39"/>
        <v>Regular Customer</v>
      </c>
    </row>
    <row r="1252" spans="1:12" ht="15.75" customHeight="1" x14ac:dyDescent="0.3">
      <c r="A1252" s="7">
        <v>45631</v>
      </c>
      <c r="B1252" s="8" t="s">
        <v>388</v>
      </c>
      <c r="C1252" s="8" t="s">
        <v>8</v>
      </c>
      <c r="D1252" s="8" t="s">
        <v>16</v>
      </c>
      <c r="E1252" s="9">
        <v>13.4</v>
      </c>
      <c r="F1252" s="8" t="s">
        <v>10</v>
      </c>
      <c r="G1252" s="8">
        <v>40.200000000000003</v>
      </c>
      <c r="H1252" s="10">
        <f t="shared" si="38"/>
        <v>12</v>
      </c>
      <c r="I1252" s="10">
        <f>YEAR(Sheet1!$A1252)</f>
        <v>2024</v>
      </c>
      <c r="J1252" s="10">
        <f>DAY(Sheet1!$A1252)</f>
        <v>5</v>
      </c>
      <c r="K1252" s="12" t="s">
        <v>2022</v>
      </c>
      <c r="L1252" s="13" t="str">
        <f t="shared" si="39"/>
        <v>Regular Customer</v>
      </c>
    </row>
    <row r="1253" spans="1:12" ht="15.75" customHeight="1" x14ac:dyDescent="0.3">
      <c r="A1253" s="14">
        <v>45675</v>
      </c>
      <c r="B1253" s="15" t="s">
        <v>754</v>
      </c>
      <c r="C1253" s="15" t="s">
        <v>18</v>
      </c>
      <c r="D1253" s="15" t="s">
        <v>14</v>
      </c>
      <c r="E1253" s="16">
        <v>20.100000000000001</v>
      </c>
      <c r="F1253" s="15" t="s">
        <v>11</v>
      </c>
      <c r="G1253" s="15">
        <v>40.200000000000003</v>
      </c>
      <c r="H1253" s="17">
        <f t="shared" si="38"/>
        <v>1</v>
      </c>
      <c r="I1253" s="17">
        <f>YEAR(Sheet1!$A1253)</f>
        <v>2025</v>
      </c>
      <c r="J1253" s="17">
        <f>DAY(Sheet1!$A1253)</f>
        <v>18</v>
      </c>
      <c r="K1253" s="18" t="s">
        <v>2023</v>
      </c>
      <c r="L1253" s="19" t="str">
        <f t="shared" si="39"/>
        <v>Regular Customer</v>
      </c>
    </row>
    <row r="1254" spans="1:12" ht="15.75" customHeight="1" x14ac:dyDescent="0.3">
      <c r="A1254" s="7">
        <v>45559</v>
      </c>
      <c r="B1254" s="8" t="s">
        <v>514</v>
      </c>
      <c r="C1254" s="8" t="s">
        <v>8</v>
      </c>
      <c r="D1254" s="8" t="s">
        <v>9</v>
      </c>
      <c r="E1254" s="9">
        <v>13.41</v>
      </c>
      <c r="F1254" s="8" t="s">
        <v>11</v>
      </c>
      <c r="G1254" s="8">
        <v>40.229999999999997</v>
      </c>
      <c r="H1254" s="10">
        <f t="shared" si="38"/>
        <v>9</v>
      </c>
      <c r="I1254" s="10">
        <f>YEAR(Sheet1!$A1254)</f>
        <v>2024</v>
      </c>
      <c r="J1254" s="10">
        <f>DAY(Sheet1!$A1254)</f>
        <v>24</v>
      </c>
      <c r="K1254" s="12" t="s">
        <v>2023</v>
      </c>
      <c r="L1254" s="13" t="str">
        <f t="shared" si="39"/>
        <v>Regular Customer</v>
      </c>
    </row>
    <row r="1255" spans="1:12" ht="15.75" customHeight="1" x14ac:dyDescent="0.3">
      <c r="A1255" s="14">
        <v>45426</v>
      </c>
      <c r="B1255" s="15" t="s">
        <v>667</v>
      </c>
      <c r="C1255" s="15" t="s">
        <v>18</v>
      </c>
      <c r="D1255" s="15" t="s">
        <v>19</v>
      </c>
      <c r="E1255" s="16">
        <v>20.13</v>
      </c>
      <c r="F1255" s="15" t="s">
        <v>10</v>
      </c>
      <c r="G1255" s="15">
        <v>40.26</v>
      </c>
      <c r="H1255" s="17">
        <f t="shared" si="38"/>
        <v>5</v>
      </c>
      <c r="I1255" s="17">
        <f>YEAR(Sheet1!$A1255)</f>
        <v>2024</v>
      </c>
      <c r="J1255" s="17">
        <f>DAY(Sheet1!$A1255)</f>
        <v>14</v>
      </c>
      <c r="K1255" s="18" t="s">
        <v>2023</v>
      </c>
      <c r="L1255" s="19" t="str">
        <f t="shared" si="39"/>
        <v>Regular Customer</v>
      </c>
    </row>
    <row r="1256" spans="1:12" ht="15.75" customHeight="1" x14ac:dyDescent="0.3">
      <c r="A1256" s="7">
        <v>45671</v>
      </c>
      <c r="B1256" s="8" t="s">
        <v>750</v>
      </c>
      <c r="C1256" s="8" t="s">
        <v>18</v>
      </c>
      <c r="D1256" s="8" t="s">
        <v>9</v>
      </c>
      <c r="E1256" s="9">
        <v>20.14</v>
      </c>
      <c r="F1256" s="8" t="s">
        <v>11</v>
      </c>
      <c r="G1256" s="8">
        <v>40.28</v>
      </c>
      <c r="H1256" s="10">
        <f t="shared" si="38"/>
        <v>1</v>
      </c>
      <c r="I1256" s="10">
        <f>YEAR(Sheet1!$A1256)</f>
        <v>2025</v>
      </c>
      <c r="J1256" s="10">
        <f>DAY(Sheet1!$A1256)</f>
        <v>14</v>
      </c>
      <c r="K1256" s="12" t="s">
        <v>2022</v>
      </c>
      <c r="L1256" s="13" t="str">
        <f t="shared" si="39"/>
        <v>Regular Customer</v>
      </c>
    </row>
    <row r="1257" spans="1:12" ht="15.75" customHeight="1" x14ac:dyDescent="0.3">
      <c r="A1257" s="14">
        <v>45560</v>
      </c>
      <c r="B1257" s="15" t="s">
        <v>1665</v>
      </c>
      <c r="C1257" s="15" t="s">
        <v>24</v>
      </c>
      <c r="D1257" s="15" t="s">
        <v>19</v>
      </c>
      <c r="E1257" s="16">
        <v>13.43</v>
      </c>
      <c r="F1257" s="15" t="s">
        <v>11</v>
      </c>
      <c r="G1257" s="15">
        <v>40.29</v>
      </c>
      <c r="H1257" s="17">
        <f t="shared" si="38"/>
        <v>9</v>
      </c>
      <c r="I1257" s="17">
        <f>YEAR(Sheet1!$A1257)</f>
        <v>2024</v>
      </c>
      <c r="J1257" s="17">
        <f>DAY(Sheet1!$A1257)</f>
        <v>25</v>
      </c>
      <c r="K1257" s="18" t="s">
        <v>2023</v>
      </c>
      <c r="L1257" s="19" t="str">
        <f t="shared" si="39"/>
        <v>Regular Customer</v>
      </c>
    </row>
    <row r="1258" spans="1:12" ht="15.75" customHeight="1" x14ac:dyDescent="0.3">
      <c r="A1258" s="7">
        <v>45500</v>
      </c>
      <c r="B1258" s="8" t="s">
        <v>1975</v>
      </c>
      <c r="C1258" s="8" t="s">
        <v>13</v>
      </c>
      <c r="D1258" s="8" t="s">
        <v>19</v>
      </c>
      <c r="E1258" s="9">
        <v>20.16</v>
      </c>
      <c r="F1258" s="8" t="s">
        <v>11</v>
      </c>
      <c r="G1258" s="8">
        <v>40.32</v>
      </c>
      <c r="H1258" s="10">
        <f t="shared" si="38"/>
        <v>7</v>
      </c>
      <c r="I1258" s="10">
        <f>YEAR(Sheet1!$A1258)</f>
        <v>2024</v>
      </c>
      <c r="J1258" s="10">
        <f>DAY(Sheet1!$A1258)</f>
        <v>27</v>
      </c>
      <c r="K1258" s="12" t="s">
        <v>2022</v>
      </c>
      <c r="L1258" s="13" t="str">
        <f t="shared" si="39"/>
        <v>Regular Customer</v>
      </c>
    </row>
    <row r="1259" spans="1:12" ht="15.75" customHeight="1" x14ac:dyDescent="0.3">
      <c r="A1259" s="14">
        <v>45486</v>
      </c>
      <c r="B1259" s="15" t="s">
        <v>1902</v>
      </c>
      <c r="C1259" s="15" t="s">
        <v>24</v>
      </c>
      <c r="D1259" s="15" t="s">
        <v>16</v>
      </c>
      <c r="E1259" s="16">
        <v>13.46</v>
      </c>
      <c r="F1259" s="15" t="s">
        <v>11</v>
      </c>
      <c r="G1259" s="15">
        <v>40.380000000000003</v>
      </c>
      <c r="H1259" s="17">
        <f t="shared" si="38"/>
        <v>7</v>
      </c>
      <c r="I1259" s="17">
        <f>YEAR(Sheet1!$A1259)</f>
        <v>2024</v>
      </c>
      <c r="J1259" s="17">
        <f>DAY(Sheet1!$A1259)</f>
        <v>13</v>
      </c>
      <c r="K1259" s="18" t="s">
        <v>2022</v>
      </c>
      <c r="L1259" s="19" t="str">
        <f t="shared" si="39"/>
        <v>Regular Customer</v>
      </c>
    </row>
    <row r="1260" spans="1:12" ht="15.75" customHeight="1" x14ac:dyDescent="0.3">
      <c r="A1260" s="7">
        <v>45674</v>
      </c>
      <c r="B1260" s="8" t="s">
        <v>632</v>
      </c>
      <c r="C1260" s="8" t="s">
        <v>18</v>
      </c>
      <c r="D1260" s="8" t="s">
        <v>19</v>
      </c>
      <c r="E1260" s="9">
        <v>20.2</v>
      </c>
      <c r="F1260" s="8" t="s">
        <v>11</v>
      </c>
      <c r="G1260" s="8">
        <v>40.4</v>
      </c>
      <c r="H1260" s="10">
        <f t="shared" si="38"/>
        <v>1</v>
      </c>
      <c r="I1260" s="10">
        <f>YEAR(Sheet1!$A1260)</f>
        <v>2025</v>
      </c>
      <c r="J1260" s="10">
        <f>DAY(Sheet1!$A1260)</f>
        <v>17</v>
      </c>
      <c r="K1260" s="12" t="s">
        <v>2023</v>
      </c>
      <c r="L1260" s="13" t="str">
        <f t="shared" si="39"/>
        <v>Regular Customer</v>
      </c>
    </row>
    <row r="1261" spans="1:12" ht="15.75" customHeight="1" x14ac:dyDescent="0.3">
      <c r="A1261" s="14">
        <v>45657</v>
      </c>
      <c r="B1261" s="15" t="s">
        <v>849</v>
      </c>
      <c r="C1261" s="15" t="s">
        <v>13</v>
      </c>
      <c r="D1261" s="15" t="s">
        <v>14</v>
      </c>
      <c r="E1261" s="16">
        <v>13.48</v>
      </c>
      <c r="F1261" s="15" t="s">
        <v>10</v>
      </c>
      <c r="G1261" s="15">
        <v>40.44</v>
      </c>
      <c r="H1261" s="17">
        <f t="shared" si="38"/>
        <v>12</v>
      </c>
      <c r="I1261" s="17">
        <f>YEAR(Sheet1!$A1261)</f>
        <v>2024</v>
      </c>
      <c r="J1261" s="17">
        <f>DAY(Sheet1!$A1261)</f>
        <v>31</v>
      </c>
      <c r="K1261" s="18" t="s">
        <v>2023</v>
      </c>
      <c r="L1261" s="19" t="str">
        <f t="shared" si="39"/>
        <v>Regular Customer</v>
      </c>
    </row>
    <row r="1262" spans="1:12" ht="15.75" customHeight="1" x14ac:dyDescent="0.3">
      <c r="A1262" s="7">
        <v>45622</v>
      </c>
      <c r="B1262" s="8" t="s">
        <v>1596</v>
      </c>
      <c r="C1262" s="8" t="s">
        <v>8</v>
      </c>
      <c r="D1262" s="8" t="s">
        <v>9</v>
      </c>
      <c r="E1262" s="9">
        <v>13.5</v>
      </c>
      <c r="F1262" s="8" t="s">
        <v>10</v>
      </c>
      <c r="G1262" s="8">
        <v>40.5</v>
      </c>
      <c r="H1262" s="10">
        <f t="shared" si="38"/>
        <v>11</v>
      </c>
      <c r="I1262" s="10">
        <f>YEAR(Sheet1!$A1262)</f>
        <v>2024</v>
      </c>
      <c r="J1262" s="10">
        <f>DAY(Sheet1!$A1262)</f>
        <v>26</v>
      </c>
      <c r="K1262" s="12" t="s">
        <v>2023</v>
      </c>
      <c r="L1262" s="13" t="str">
        <f t="shared" si="39"/>
        <v>Regular Customer</v>
      </c>
    </row>
    <row r="1263" spans="1:12" ht="15.75" customHeight="1" x14ac:dyDescent="0.3">
      <c r="A1263" s="14">
        <v>45719</v>
      </c>
      <c r="B1263" s="15" t="s">
        <v>1568</v>
      </c>
      <c r="C1263" s="15" t="s">
        <v>24</v>
      </c>
      <c r="D1263" s="15" t="s">
        <v>9</v>
      </c>
      <c r="E1263" s="16">
        <v>13.5</v>
      </c>
      <c r="F1263" s="15" t="s">
        <v>11</v>
      </c>
      <c r="G1263" s="15">
        <v>40.5</v>
      </c>
      <c r="H1263" s="17">
        <f t="shared" si="38"/>
        <v>3</v>
      </c>
      <c r="I1263" s="17">
        <f>YEAR(Sheet1!$A1263)</f>
        <v>2025</v>
      </c>
      <c r="J1263" s="17">
        <f>DAY(Sheet1!$A1263)</f>
        <v>3</v>
      </c>
      <c r="K1263" s="18" t="s">
        <v>2022</v>
      </c>
      <c r="L1263" s="19" t="str">
        <f t="shared" si="39"/>
        <v>Regular Customer</v>
      </c>
    </row>
    <row r="1264" spans="1:12" ht="15.75" customHeight="1" x14ac:dyDescent="0.3">
      <c r="A1264" s="7">
        <v>45584</v>
      </c>
      <c r="B1264" s="8" t="s">
        <v>1156</v>
      </c>
      <c r="C1264" s="8" t="s">
        <v>24</v>
      </c>
      <c r="D1264" s="8" t="s">
        <v>9</v>
      </c>
      <c r="E1264" s="9">
        <v>20.260000000000002</v>
      </c>
      <c r="F1264" s="8" t="s">
        <v>11</v>
      </c>
      <c r="G1264" s="8">
        <v>40.520000000000003</v>
      </c>
      <c r="H1264" s="10">
        <f t="shared" si="38"/>
        <v>10</v>
      </c>
      <c r="I1264" s="10">
        <f>YEAR(Sheet1!$A1264)</f>
        <v>2024</v>
      </c>
      <c r="J1264" s="10">
        <f>DAY(Sheet1!$A1264)</f>
        <v>19</v>
      </c>
      <c r="K1264" s="12" t="s">
        <v>2022</v>
      </c>
      <c r="L1264" s="13" t="str">
        <f t="shared" si="39"/>
        <v>Regular Customer</v>
      </c>
    </row>
    <row r="1265" spans="1:12" ht="15.75" customHeight="1" x14ac:dyDescent="0.3">
      <c r="A1265" s="14">
        <v>45693</v>
      </c>
      <c r="B1265" s="15" t="s">
        <v>592</v>
      </c>
      <c r="C1265" s="15" t="s">
        <v>13</v>
      </c>
      <c r="D1265" s="15" t="s">
        <v>16</v>
      </c>
      <c r="E1265" s="16">
        <v>13.51</v>
      </c>
      <c r="F1265" s="15" t="s">
        <v>11</v>
      </c>
      <c r="G1265" s="15">
        <v>40.53</v>
      </c>
      <c r="H1265" s="17">
        <f t="shared" si="38"/>
        <v>2</v>
      </c>
      <c r="I1265" s="17">
        <f>YEAR(Sheet1!$A1265)</f>
        <v>2025</v>
      </c>
      <c r="J1265" s="17">
        <f>DAY(Sheet1!$A1265)</f>
        <v>5</v>
      </c>
      <c r="K1265" s="18" t="s">
        <v>2022</v>
      </c>
      <c r="L1265" s="19" t="str">
        <f t="shared" si="39"/>
        <v>Regular Customer</v>
      </c>
    </row>
    <row r="1266" spans="1:12" ht="15.75" customHeight="1" x14ac:dyDescent="0.3">
      <c r="A1266" s="7">
        <v>45446</v>
      </c>
      <c r="B1266" s="8" t="s">
        <v>1440</v>
      </c>
      <c r="C1266" s="8" t="s">
        <v>24</v>
      </c>
      <c r="D1266" s="8" t="s">
        <v>16</v>
      </c>
      <c r="E1266" s="9">
        <v>20.27</v>
      </c>
      <c r="F1266" s="8" t="s">
        <v>10</v>
      </c>
      <c r="G1266" s="8">
        <v>40.54</v>
      </c>
      <c r="H1266" s="10">
        <f t="shared" si="38"/>
        <v>6</v>
      </c>
      <c r="I1266" s="10">
        <f>YEAR(Sheet1!$A1266)</f>
        <v>2024</v>
      </c>
      <c r="J1266" s="10">
        <f>DAY(Sheet1!$A1266)</f>
        <v>3</v>
      </c>
      <c r="K1266" s="12" t="s">
        <v>2023</v>
      </c>
      <c r="L1266" s="13" t="str">
        <f t="shared" si="39"/>
        <v>Regular Customer</v>
      </c>
    </row>
    <row r="1267" spans="1:12" ht="15.75" customHeight="1" x14ac:dyDescent="0.3">
      <c r="A1267" s="14">
        <v>45695</v>
      </c>
      <c r="B1267" s="15" t="s">
        <v>1788</v>
      </c>
      <c r="C1267" s="15" t="s">
        <v>18</v>
      </c>
      <c r="D1267" s="15" t="s">
        <v>19</v>
      </c>
      <c r="E1267" s="16">
        <v>20.3</v>
      </c>
      <c r="F1267" s="15" t="s">
        <v>10</v>
      </c>
      <c r="G1267" s="15">
        <v>40.6</v>
      </c>
      <c r="H1267" s="17">
        <f t="shared" si="38"/>
        <v>2</v>
      </c>
      <c r="I1267" s="17">
        <f>YEAR(Sheet1!$A1267)</f>
        <v>2025</v>
      </c>
      <c r="J1267" s="17">
        <f>DAY(Sheet1!$A1267)</f>
        <v>7</v>
      </c>
      <c r="K1267" s="18" t="s">
        <v>2023</v>
      </c>
      <c r="L1267" s="19" t="str">
        <f t="shared" si="39"/>
        <v>Regular Customer</v>
      </c>
    </row>
    <row r="1268" spans="1:12" ht="15.75" customHeight="1" x14ac:dyDescent="0.3">
      <c r="A1268" s="7">
        <v>45649</v>
      </c>
      <c r="B1268" s="8" t="s">
        <v>192</v>
      </c>
      <c r="C1268" s="8" t="s">
        <v>18</v>
      </c>
      <c r="D1268" s="8" t="s">
        <v>16</v>
      </c>
      <c r="E1268" s="9">
        <v>13.54</v>
      </c>
      <c r="F1268" s="8" t="s">
        <v>11</v>
      </c>
      <c r="G1268" s="8">
        <v>40.619999999999997</v>
      </c>
      <c r="H1268" s="10">
        <f t="shared" si="38"/>
        <v>12</v>
      </c>
      <c r="I1268" s="10">
        <f>YEAR(Sheet1!$A1268)</f>
        <v>2024</v>
      </c>
      <c r="J1268" s="10">
        <f>DAY(Sheet1!$A1268)</f>
        <v>23</v>
      </c>
      <c r="K1268" s="12" t="s">
        <v>2022</v>
      </c>
      <c r="L1268" s="13" t="str">
        <f t="shared" si="39"/>
        <v>Regular Customer</v>
      </c>
    </row>
    <row r="1269" spans="1:12" ht="15.75" customHeight="1" x14ac:dyDescent="0.3">
      <c r="A1269" s="14">
        <v>45433</v>
      </c>
      <c r="B1269" s="15" t="s">
        <v>788</v>
      </c>
      <c r="C1269" s="15" t="s">
        <v>24</v>
      </c>
      <c r="D1269" s="15" t="s">
        <v>19</v>
      </c>
      <c r="E1269" s="16">
        <v>20.36</v>
      </c>
      <c r="F1269" s="15" t="s">
        <v>10</v>
      </c>
      <c r="G1269" s="15">
        <v>40.72</v>
      </c>
      <c r="H1269" s="17">
        <f t="shared" si="38"/>
        <v>5</v>
      </c>
      <c r="I1269" s="17">
        <f>YEAR(Sheet1!$A1269)</f>
        <v>2024</v>
      </c>
      <c r="J1269" s="17">
        <f>DAY(Sheet1!$A1269)</f>
        <v>21</v>
      </c>
      <c r="K1269" s="18" t="s">
        <v>2023</v>
      </c>
      <c r="L1269" s="19" t="str">
        <f t="shared" si="39"/>
        <v>Regular Customer</v>
      </c>
    </row>
    <row r="1270" spans="1:12" ht="15.75" customHeight="1" x14ac:dyDescent="0.3">
      <c r="A1270" s="7">
        <v>45634</v>
      </c>
      <c r="B1270" s="8" t="s">
        <v>658</v>
      </c>
      <c r="C1270" s="8" t="s">
        <v>24</v>
      </c>
      <c r="D1270" s="8" t="s">
        <v>14</v>
      </c>
      <c r="E1270" s="9">
        <v>13.59</v>
      </c>
      <c r="F1270" s="8" t="s">
        <v>10</v>
      </c>
      <c r="G1270" s="8">
        <v>40.770000000000003</v>
      </c>
      <c r="H1270" s="10">
        <f t="shared" si="38"/>
        <v>12</v>
      </c>
      <c r="I1270" s="10">
        <f>YEAR(Sheet1!$A1270)</f>
        <v>2024</v>
      </c>
      <c r="J1270" s="10">
        <f>DAY(Sheet1!$A1270)</f>
        <v>8</v>
      </c>
      <c r="K1270" s="12" t="s">
        <v>2022</v>
      </c>
      <c r="L1270" s="13" t="str">
        <f t="shared" si="39"/>
        <v>Regular Customer</v>
      </c>
    </row>
    <row r="1271" spans="1:12" ht="15.75" customHeight="1" x14ac:dyDescent="0.3">
      <c r="A1271" s="14">
        <v>45463</v>
      </c>
      <c r="B1271" s="15" t="s">
        <v>1809</v>
      </c>
      <c r="C1271" s="15" t="s">
        <v>24</v>
      </c>
      <c r="D1271" s="15" t="s">
        <v>16</v>
      </c>
      <c r="E1271" s="16">
        <v>20.41</v>
      </c>
      <c r="F1271" s="15" t="s">
        <v>10</v>
      </c>
      <c r="G1271" s="15">
        <v>40.82</v>
      </c>
      <c r="H1271" s="17">
        <f t="shared" si="38"/>
        <v>6</v>
      </c>
      <c r="I1271" s="17">
        <f>YEAR(Sheet1!$A1271)</f>
        <v>2024</v>
      </c>
      <c r="J1271" s="17">
        <f>DAY(Sheet1!$A1271)</f>
        <v>20</v>
      </c>
      <c r="K1271" s="18" t="s">
        <v>2022</v>
      </c>
      <c r="L1271" s="19" t="str">
        <f t="shared" si="39"/>
        <v>Regular Customer</v>
      </c>
    </row>
    <row r="1272" spans="1:12" ht="15.75" customHeight="1" x14ac:dyDescent="0.3">
      <c r="A1272" s="7">
        <v>45538</v>
      </c>
      <c r="B1272" s="8" t="s">
        <v>1807</v>
      </c>
      <c r="C1272" s="8" t="s">
        <v>24</v>
      </c>
      <c r="D1272" s="8" t="s">
        <v>14</v>
      </c>
      <c r="E1272" s="9">
        <v>20.41</v>
      </c>
      <c r="F1272" s="8" t="s">
        <v>11</v>
      </c>
      <c r="G1272" s="8">
        <v>40.82</v>
      </c>
      <c r="H1272" s="10">
        <f t="shared" si="38"/>
        <v>9</v>
      </c>
      <c r="I1272" s="10">
        <f>YEAR(Sheet1!$A1272)</f>
        <v>2024</v>
      </c>
      <c r="J1272" s="10">
        <f>DAY(Sheet1!$A1272)</f>
        <v>3</v>
      </c>
      <c r="K1272" s="12" t="s">
        <v>2022</v>
      </c>
      <c r="L1272" s="13" t="str">
        <f t="shared" si="39"/>
        <v>Regular Customer</v>
      </c>
    </row>
    <row r="1273" spans="1:12" ht="15.75" customHeight="1" x14ac:dyDescent="0.3">
      <c r="A1273" s="14">
        <v>45531</v>
      </c>
      <c r="B1273" s="15" t="s">
        <v>1373</v>
      </c>
      <c r="C1273" s="15" t="s">
        <v>13</v>
      </c>
      <c r="D1273" s="15" t="s">
        <v>16</v>
      </c>
      <c r="E1273" s="16">
        <v>20.420000000000002</v>
      </c>
      <c r="F1273" s="15" t="s">
        <v>10</v>
      </c>
      <c r="G1273" s="15">
        <v>40.840000000000003</v>
      </c>
      <c r="H1273" s="17">
        <f t="shared" si="38"/>
        <v>8</v>
      </c>
      <c r="I1273" s="17">
        <f>YEAR(Sheet1!$A1273)</f>
        <v>2024</v>
      </c>
      <c r="J1273" s="17">
        <f>DAY(Sheet1!$A1273)</f>
        <v>27</v>
      </c>
      <c r="K1273" s="18" t="s">
        <v>2022</v>
      </c>
      <c r="L1273" s="19" t="str">
        <f t="shared" si="39"/>
        <v>Regular Customer</v>
      </c>
    </row>
    <row r="1274" spans="1:12" ht="15.75" customHeight="1" x14ac:dyDescent="0.3">
      <c r="A1274" s="7">
        <v>45536</v>
      </c>
      <c r="B1274" s="8" t="s">
        <v>1220</v>
      </c>
      <c r="C1274" s="8" t="s">
        <v>24</v>
      </c>
      <c r="D1274" s="8" t="s">
        <v>19</v>
      </c>
      <c r="E1274" s="9">
        <v>20.420000000000002</v>
      </c>
      <c r="F1274" s="8" t="s">
        <v>11</v>
      </c>
      <c r="G1274" s="8">
        <v>40.840000000000003</v>
      </c>
      <c r="H1274" s="10">
        <f t="shared" si="38"/>
        <v>9</v>
      </c>
      <c r="I1274" s="10">
        <f>YEAR(Sheet1!$A1274)</f>
        <v>2024</v>
      </c>
      <c r="J1274" s="10">
        <f>DAY(Sheet1!$A1274)</f>
        <v>1</v>
      </c>
      <c r="K1274" s="12" t="s">
        <v>2022</v>
      </c>
      <c r="L1274" s="13" t="str">
        <f t="shared" si="39"/>
        <v>Regular Customer</v>
      </c>
    </row>
    <row r="1275" spans="1:12" ht="15.75" customHeight="1" x14ac:dyDescent="0.3">
      <c r="A1275" s="14">
        <v>45698</v>
      </c>
      <c r="B1275" s="15" t="s">
        <v>902</v>
      </c>
      <c r="C1275" s="15" t="s">
        <v>24</v>
      </c>
      <c r="D1275" s="15" t="s">
        <v>14</v>
      </c>
      <c r="E1275" s="16">
        <v>13.62</v>
      </c>
      <c r="F1275" s="15" t="s">
        <v>10</v>
      </c>
      <c r="G1275" s="15">
        <v>40.86</v>
      </c>
      <c r="H1275" s="17">
        <f t="shared" si="38"/>
        <v>2</v>
      </c>
      <c r="I1275" s="17">
        <f>YEAR(Sheet1!$A1275)</f>
        <v>2025</v>
      </c>
      <c r="J1275" s="17">
        <f>DAY(Sheet1!$A1275)</f>
        <v>10</v>
      </c>
      <c r="K1275" s="18" t="s">
        <v>2022</v>
      </c>
      <c r="L1275" s="19" t="str">
        <f t="shared" si="39"/>
        <v>Regular Customer</v>
      </c>
    </row>
    <row r="1276" spans="1:12" ht="15.75" customHeight="1" x14ac:dyDescent="0.3">
      <c r="A1276" s="7">
        <v>45546</v>
      </c>
      <c r="B1276" s="8" t="s">
        <v>305</v>
      </c>
      <c r="C1276" s="8" t="s">
        <v>18</v>
      </c>
      <c r="D1276" s="8" t="s">
        <v>14</v>
      </c>
      <c r="E1276" s="9">
        <v>20.440000000000001</v>
      </c>
      <c r="F1276" s="8" t="s">
        <v>10</v>
      </c>
      <c r="G1276" s="8">
        <v>40.880000000000003</v>
      </c>
      <c r="H1276" s="10">
        <f t="shared" si="38"/>
        <v>9</v>
      </c>
      <c r="I1276" s="10">
        <f>YEAR(Sheet1!$A1276)</f>
        <v>2024</v>
      </c>
      <c r="J1276" s="10">
        <f>DAY(Sheet1!$A1276)</f>
        <v>11</v>
      </c>
      <c r="K1276" s="12" t="s">
        <v>2023</v>
      </c>
      <c r="L1276" s="13" t="str">
        <f t="shared" si="39"/>
        <v>Regular Customer</v>
      </c>
    </row>
    <row r="1277" spans="1:12" ht="15.75" customHeight="1" x14ac:dyDescent="0.3">
      <c r="A1277" s="14">
        <v>45616</v>
      </c>
      <c r="B1277" s="15" t="s">
        <v>132</v>
      </c>
      <c r="C1277" s="15" t="s">
        <v>8</v>
      </c>
      <c r="D1277" s="15" t="s">
        <v>9</v>
      </c>
      <c r="E1277" s="16">
        <v>20.48</v>
      </c>
      <c r="F1277" s="15" t="s">
        <v>11</v>
      </c>
      <c r="G1277" s="15">
        <v>40.96</v>
      </c>
      <c r="H1277" s="17">
        <f t="shared" si="38"/>
        <v>11</v>
      </c>
      <c r="I1277" s="17">
        <f>YEAR(Sheet1!$A1277)</f>
        <v>2024</v>
      </c>
      <c r="J1277" s="17">
        <f>DAY(Sheet1!$A1277)</f>
        <v>20</v>
      </c>
      <c r="K1277" s="18" t="s">
        <v>2022</v>
      </c>
      <c r="L1277" s="19" t="str">
        <f t="shared" si="39"/>
        <v>Regular Customer</v>
      </c>
    </row>
    <row r="1278" spans="1:12" ht="15.75" customHeight="1" x14ac:dyDescent="0.3">
      <c r="A1278" s="7">
        <v>45599</v>
      </c>
      <c r="B1278" s="8" t="s">
        <v>882</v>
      </c>
      <c r="C1278" s="8" t="s">
        <v>24</v>
      </c>
      <c r="D1278" s="8" t="s">
        <v>9</v>
      </c>
      <c r="E1278" s="9">
        <v>20.49</v>
      </c>
      <c r="F1278" s="8" t="s">
        <v>10</v>
      </c>
      <c r="G1278" s="8">
        <v>40.98</v>
      </c>
      <c r="H1278" s="10">
        <f t="shared" si="38"/>
        <v>11</v>
      </c>
      <c r="I1278" s="10">
        <f>YEAR(Sheet1!$A1278)</f>
        <v>2024</v>
      </c>
      <c r="J1278" s="10">
        <f>DAY(Sheet1!$A1278)</f>
        <v>3</v>
      </c>
      <c r="K1278" s="12" t="s">
        <v>2022</v>
      </c>
      <c r="L1278" s="13" t="str">
        <f t="shared" si="39"/>
        <v>Regular Customer</v>
      </c>
    </row>
    <row r="1279" spans="1:12" ht="15.75" customHeight="1" x14ac:dyDescent="0.3">
      <c r="A1279" s="14">
        <v>45477</v>
      </c>
      <c r="B1279" s="15" t="s">
        <v>1421</v>
      </c>
      <c r="C1279" s="15" t="s">
        <v>13</v>
      </c>
      <c r="D1279" s="15" t="s">
        <v>19</v>
      </c>
      <c r="E1279" s="16">
        <v>20.5</v>
      </c>
      <c r="F1279" s="15" t="s">
        <v>10</v>
      </c>
      <c r="G1279" s="15">
        <v>41</v>
      </c>
      <c r="H1279" s="17">
        <f t="shared" si="38"/>
        <v>7</v>
      </c>
      <c r="I1279" s="17">
        <f>YEAR(Sheet1!$A1279)</f>
        <v>2024</v>
      </c>
      <c r="J1279" s="17">
        <f>DAY(Sheet1!$A1279)</f>
        <v>4</v>
      </c>
      <c r="K1279" s="18" t="s">
        <v>2023</v>
      </c>
      <c r="L1279" s="19" t="str">
        <f t="shared" si="39"/>
        <v>Regular Customer</v>
      </c>
    </row>
    <row r="1280" spans="1:12" ht="15.75" customHeight="1" x14ac:dyDescent="0.3">
      <c r="A1280" s="7">
        <v>45497</v>
      </c>
      <c r="B1280" s="8" t="s">
        <v>1091</v>
      </c>
      <c r="C1280" s="8" t="s">
        <v>18</v>
      </c>
      <c r="D1280" s="8" t="s">
        <v>9</v>
      </c>
      <c r="E1280" s="9">
        <v>20.51</v>
      </c>
      <c r="F1280" s="8" t="s">
        <v>10</v>
      </c>
      <c r="G1280" s="8">
        <v>41.02</v>
      </c>
      <c r="H1280" s="10">
        <f t="shared" si="38"/>
        <v>7</v>
      </c>
      <c r="I1280" s="10">
        <f>YEAR(Sheet1!$A1280)</f>
        <v>2024</v>
      </c>
      <c r="J1280" s="10">
        <f>DAY(Sheet1!$A1280)</f>
        <v>24</v>
      </c>
      <c r="K1280" s="12" t="s">
        <v>2022</v>
      </c>
      <c r="L1280" s="13" t="str">
        <f t="shared" si="39"/>
        <v>Regular Customer</v>
      </c>
    </row>
    <row r="1281" spans="1:12" ht="15.75" customHeight="1" x14ac:dyDescent="0.3">
      <c r="A1281" s="14">
        <v>45698</v>
      </c>
      <c r="B1281" s="15" t="s">
        <v>1705</v>
      </c>
      <c r="C1281" s="15" t="s">
        <v>24</v>
      </c>
      <c r="D1281" s="15" t="s">
        <v>9</v>
      </c>
      <c r="E1281" s="16">
        <v>13.68</v>
      </c>
      <c r="F1281" s="15" t="s">
        <v>10</v>
      </c>
      <c r="G1281" s="15">
        <v>41.04</v>
      </c>
      <c r="H1281" s="17">
        <f t="shared" si="38"/>
        <v>2</v>
      </c>
      <c r="I1281" s="17">
        <f>YEAR(Sheet1!$A1281)</f>
        <v>2025</v>
      </c>
      <c r="J1281" s="17">
        <f>DAY(Sheet1!$A1281)</f>
        <v>10</v>
      </c>
      <c r="K1281" s="18" t="s">
        <v>2023</v>
      </c>
      <c r="L1281" s="19" t="str">
        <f t="shared" si="39"/>
        <v>Regular Customer</v>
      </c>
    </row>
    <row r="1282" spans="1:12" ht="15.75" customHeight="1" x14ac:dyDescent="0.3">
      <c r="A1282" s="7">
        <v>45716</v>
      </c>
      <c r="B1282" s="8" t="s">
        <v>1356</v>
      </c>
      <c r="C1282" s="8" t="s">
        <v>13</v>
      </c>
      <c r="D1282" s="8" t="s">
        <v>19</v>
      </c>
      <c r="E1282" s="9">
        <v>20.59</v>
      </c>
      <c r="F1282" s="8" t="s">
        <v>10</v>
      </c>
      <c r="G1282" s="8">
        <v>41.18</v>
      </c>
      <c r="H1282" s="10">
        <f t="shared" ref="H1282:H1345" si="40">MONTH(A1282)</f>
        <v>2</v>
      </c>
      <c r="I1282" s="10">
        <f>YEAR(Sheet1!$A1282)</f>
        <v>2025</v>
      </c>
      <c r="J1282" s="10">
        <f>DAY(Sheet1!$A1282)</f>
        <v>28</v>
      </c>
      <c r="K1282" s="12" t="s">
        <v>2023</v>
      </c>
      <c r="L1282" s="13" t="str">
        <f t="shared" ref="L1282:L1345" si="41">IF(G1282&gt;50,"Premium Customer","Regular Customer")</f>
        <v>Regular Customer</v>
      </c>
    </row>
    <row r="1283" spans="1:12" ht="15.75" customHeight="1" x14ac:dyDescent="0.3">
      <c r="A1283" s="14">
        <v>45696</v>
      </c>
      <c r="B1283" s="15" t="s">
        <v>818</v>
      </c>
      <c r="C1283" s="15" t="s">
        <v>13</v>
      </c>
      <c r="D1283" s="15" t="s">
        <v>9</v>
      </c>
      <c r="E1283" s="16">
        <v>20.6</v>
      </c>
      <c r="F1283" s="15" t="s">
        <v>11</v>
      </c>
      <c r="G1283" s="15">
        <v>41.2</v>
      </c>
      <c r="H1283" s="17">
        <f t="shared" si="40"/>
        <v>2</v>
      </c>
      <c r="I1283" s="17">
        <f>YEAR(Sheet1!$A1283)</f>
        <v>2025</v>
      </c>
      <c r="J1283" s="17">
        <f>DAY(Sheet1!$A1283)</f>
        <v>8</v>
      </c>
      <c r="K1283" s="18" t="s">
        <v>2023</v>
      </c>
      <c r="L1283" s="19" t="str">
        <f t="shared" si="41"/>
        <v>Regular Customer</v>
      </c>
    </row>
    <row r="1284" spans="1:12" ht="15.75" customHeight="1" x14ac:dyDescent="0.3">
      <c r="A1284" s="7">
        <v>45565</v>
      </c>
      <c r="B1284" s="8" t="s">
        <v>598</v>
      </c>
      <c r="C1284" s="8" t="s">
        <v>18</v>
      </c>
      <c r="D1284" s="8" t="s">
        <v>19</v>
      </c>
      <c r="E1284" s="9">
        <v>13.75</v>
      </c>
      <c r="F1284" s="8" t="s">
        <v>11</v>
      </c>
      <c r="G1284" s="8">
        <v>41.25</v>
      </c>
      <c r="H1284" s="10">
        <f t="shared" si="40"/>
        <v>9</v>
      </c>
      <c r="I1284" s="10">
        <f>YEAR(Sheet1!$A1284)</f>
        <v>2024</v>
      </c>
      <c r="J1284" s="10">
        <f>DAY(Sheet1!$A1284)</f>
        <v>30</v>
      </c>
      <c r="K1284" s="12" t="s">
        <v>2023</v>
      </c>
      <c r="L1284" s="13" t="str">
        <f t="shared" si="41"/>
        <v>Regular Customer</v>
      </c>
    </row>
    <row r="1285" spans="1:12" ht="15.75" customHeight="1" x14ac:dyDescent="0.3">
      <c r="A1285" s="14">
        <v>45610</v>
      </c>
      <c r="B1285" s="15" t="s">
        <v>758</v>
      </c>
      <c r="C1285" s="15" t="s">
        <v>13</v>
      </c>
      <c r="D1285" s="15" t="s">
        <v>14</v>
      </c>
      <c r="E1285" s="16">
        <v>13.77</v>
      </c>
      <c r="F1285" s="15" t="s">
        <v>10</v>
      </c>
      <c r="G1285" s="15">
        <v>41.31</v>
      </c>
      <c r="H1285" s="17">
        <f t="shared" si="40"/>
        <v>11</v>
      </c>
      <c r="I1285" s="17">
        <f>YEAR(Sheet1!$A1285)</f>
        <v>2024</v>
      </c>
      <c r="J1285" s="17">
        <f>DAY(Sheet1!$A1285)</f>
        <v>14</v>
      </c>
      <c r="K1285" s="18" t="s">
        <v>2022</v>
      </c>
      <c r="L1285" s="19" t="str">
        <f t="shared" si="41"/>
        <v>Regular Customer</v>
      </c>
    </row>
    <row r="1286" spans="1:12" ht="15.75" customHeight="1" x14ac:dyDescent="0.3">
      <c r="A1286" s="7">
        <v>45451</v>
      </c>
      <c r="B1286" s="8" t="s">
        <v>797</v>
      </c>
      <c r="C1286" s="8" t="s">
        <v>8</v>
      </c>
      <c r="D1286" s="8" t="s">
        <v>16</v>
      </c>
      <c r="E1286" s="9">
        <v>20.71</v>
      </c>
      <c r="F1286" s="8" t="s">
        <v>10</v>
      </c>
      <c r="G1286" s="8">
        <v>41.42</v>
      </c>
      <c r="H1286" s="10">
        <f t="shared" si="40"/>
        <v>6</v>
      </c>
      <c r="I1286" s="10">
        <f>YEAR(Sheet1!$A1286)</f>
        <v>2024</v>
      </c>
      <c r="J1286" s="10">
        <f>DAY(Sheet1!$A1286)</f>
        <v>8</v>
      </c>
      <c r="K1286" s="12" t="s">
        <v>2023</v>
      </c>
      <c r="L1286" s="13" t="str">
        <f t="shared" si="41"/>
        <v>Regular Customer</v>
      </c>
    </row>
    <row r="1287" spans="1:12" ht="15.75" customHeight="1" x14ac:dyDescent="0.3">
      <c r="A1287" s="14">
        <v>45598</v>
      </c>
      <c r="B1287" s="15" t="s">
        <v>764</v>
      </c>
      <c r="C1287" s="15" t="s">
        <v>18</v>
      </c>
      <c r="D1287" s="15" t="s">
        <v>19</v>
      </c>
      <c r="E1287" s="16">
        <v>20.71</v>
      </c>
      <c r="F1287" s="15" t="s">
        <v>11</v>
      </c>
      <c r="G1287" s="15">
        <v>41.42</v>
      </c>
      <c r="H1287" s="17">
        <f t="shared" si="40"/>
        <v>11</v>
      </c>
      <c r="I1287" s="17">
        <f>YEAR(Sheet1!$A1287)</f>
        <v>2024</v>
      </c>
      <c r="J1287" s="17">
        <f>DAY(Sheet1!$A1287)</f>
        <v>2</v>
      </c>
      <c r="K1287" s="18" t="s">
        <v>2022</v>
      </c>
      <c r="L1287" s="19" t="str">
        <f t="shared" si="41"/>
        <v>Regular Customer</v>
      </c>
    </row>
    <row r="1288" spans="1:12" ht="15.75" customHeight="1" x14ac:dyDescent="0.3">
      <c r="A1288" s="7">
        <v>45465</v>
      </c>
      <c r="B1288" s="8" t="s">
        <v>852</v>
      </c>
      <c r="C1288" s="8" t="s">
        <v>18</v>
      </c>
      <c r="D1288" s="8" t="s">
        <v>9</v>
      </c>
      <c r="E1288" s="9">
        <v>13.81</v>
      </c>
      <c r="F1288" s="8" t="s">
        <v>11</v>
      </c>
      <c r="G1288" s="8">
        <v>41.43</v>
      </c>
      <c r="H1288" s="10">
        <f t="shared" si="40"/>
        <v>6</v>
      </c>
      <c r="I1288" s="10">
        <f>YEAR(Sheet1!$A1288)</f>
        <v>2024</v>
      </c>
      <c r="J1288" s="10">
        <f>DAY(Sheet1!$A1288)</f>
        <v>22</v>
      </c>
      <c r="K1288" s="12" t="s">
        <v>2023</v>
      </c>
      <c r="L1288" s="13" t="str">
        <f t="shared" si="41"/>
        <v>Regular Customer</v>
      </c>
    </row>
    <row r="1289" spans="1:12" ht="15.75" customHeight="1" x14ac:dyDescent="0.3">
      <c r="A1289" s="14">
        <v>45426</v>
      </c>
      <c r="B1289" s="15" t="s">
        <v>948</v>
      </c>
      <c r="C1289" s="15" t="s">
        <v>8</v>
      </c>
      <c r="D1289" s="15" t="s">
        <v>14</v>
      </c>
      <c r="E1289" s="16">
        <v>20.72</v>
      </c>
      <c r="F1289" s="15" t="s">
        <v>10</v>
      </c>
      <c r="G1289" s="15">
        <v>41.44</v>
      </c>
      <c r="H1289" s="17">
        <f t="shared" si="40"/>
        <v>5</v>
      </c>
      <c r="I1289" s="17">
        <f>YEAR(Sheet1!$A1289)</f>
        <v>2024</v>
      </c>
      <c r="J1289" s="17">
        <f>DAY(Sheet1!$A1289)</f>
        <v>14</v>
      </c>
      <c r="K1289" s="18" t="s">
        <v>2022</v>
      </c>
      <c r="L1289" s="19" t="str">
        <f t="shared" si="41"/>
        <v>Regular Customer</v>
      </c>
    </row>
    <row r="1290" spans="1:12" ht="15.75" customHeight="1" x14ac:dyDescent="0.3">
      <c r="A1290" s="7">
        <v>45695</v>
      </c>
      <c r="B1290" s="8" t="s">
        <v>122</v>
      </c>
      <c r="C1290" s="8" t="s">
        <v>8</v>
      </c>
      <c r="D1290" s="8" t="s">
        <v>16</v>
      </c>
      <c r="E1290" s="9">
        <v>20.73</v>
      </c>
      <c r="F1290" s="8" t="s">
        <v>10</v>
      </c>
      <c r="G1290" s="8">
        <v>41.46</v>
      </c>
      <c r="H1290" s="10">
        <f t="shared" si="40"/>
        <v>2</v>
      </c>
      <c r="I1290" s="10">
        <f>YEAR(Sheet1!$A1290)</f>
        <v>2025</v>
      </c>
      <c r="J1290" s="10">
        <f>DAY(Sheet1!$A1290)</f>
        <v>7</v>
      </c>
      <c r="K1290" s="12" t="s">
        <v>2022</v>
      </c>
      <c r="L1290" s="13" t="str">
        <f t="shared" si="41"/>
        <v>Regular Customer</v>
      </c>
    </row>
    <row r="1291" spans="1:12" ht="15.75" customHeight="1" x14ac:dyDescent="0.3">
      <c r="A1291" s="14">
        <v>45413</v>
      </c>
      <c r="B1291" s="15" t="s">
        <v>1472</v>
      </c>
      <c r="C1291" s="15" t="s">
        <v>13</v>
      </c>
      <c r="D1291" s="15" t="s">
        <v>9</v>
      </c>
      <c r="E1291" s="16">
        <v>20.77</v>
      </c>
      <c r="F1291" s="15" t="s">
        <v>11</v>
      </c>
      <c r="G1291" s="15">
        <v>41.54</v>
      </c>
      <c r="H1291" s="17">
        <f t="shared" si="40"/>
        <v>5</v>
      </c>
      <c r="I1291" s="17">
        <f>YEAR(Sheet1!$A1291)</f>
        <v>2024</v>
      </c>
      <c r="J1291" s="17">
        <f>DAY(Sheet1!$A1291)</f>
        <v>1</v>
      </c>
      <c r="K1291" s="18" t="s">
        <v>2023</v>
      </c>
      <c r="L1291" s="19" t="str">
        <f t="shared" si="41"/>
        <v>Regular Customer</v>
      </c>
    </row>
    <row r="1292" spans="1:12" ht="15.75" customHeight="1" x14ac:dyDescent="0.3">
      <c r="A1292" s="7">
        <v>45682</v>
      </c>
      <c r="B1292" s="8" t="s">
        <v>1058</v>
      </c>
      <c r="C1292" s="8" t="s">
        <v>8</v>
      </c>
      <c r="D1292" s="8" t="s">
        <v>16</v>
      </c>
      <c r="E1292" s="9">
        <v>13.87</v>
      </c>
      <c r="F1292" s="8" t="s">
        <v>11</v>
      </c>
      <c r="G1292" s="8">
        <v>41.61</v>
      </c>
      <c r="H1292" s="10">
        <f t="shared" si="40"/>
        <v>1</v>
      </c>
      <c r="I1292" s="10">
        <f>YEAR(Sheet1!$A1292)</f>
        <v>2025</v>
      </c>
      <c r="J1292" s="10">
        <f>DAY(Sheet1!$A1292)</f>
        <v>25</v>
      </c>
      <c r="K1292" s="12" t="s">
        <v>2023</v>
      </c>
      <c r="L1292" s="13" t="str">
        <f t="shared" si="41"/>
        <v>Regular Customer</v>
      </c>
    </row>
    <row r="1293" spans="1:12" ht="15.75" customHeight="1" x14ac:dyDescent="0.3">
      <c r="A1293" s="14">
        <v>45433</v>
      </c>
      <c r="B1293" s="15" t="s">
        <v>890</v>
      </c>
      <c r="C1293" s="15" t="s">
        <v>18</v>
      </c>
      <c r="D1293" s="15" t="s">
        <v>14</v>
      </c>
      <c r="E1293" s="16">
        <v>20.85</v>
      </c>
      <c r="F1293" s="15" t="s">
        <v>10</v>
      </c>
      <c r="G1293" s="15">
        <v>41.7</v>
      </c>
      <c r="H1293" s="17">
        <f t="shared" si="40"/>
        <v>5</v>
      </c>
      <c r="I1293" s="17">
        <f>YEAR(Sheet1!$A1293)</f>
        <v>2024</v>
      </c>
      <c r="J1293" s="17">
        <f>DAY(Sheet1!$A1293)</f>
        <v>21</v>
      </c>
      <c r="K1293" s="18" t="s">
        <v>2022</v>
      </c>
      <c r="L1293" s="19" t="str">
        <f t="shared" si="41"/>
        <v>Regular Customer</v>
      </c>
    </row>
    <row r="1294" spans="1:12" ht="15.75" customHeight="1" x14ac:dyDescent="0.3">
      <c r="A1294" s="7">
        <v>45549</v>
      </c>
      <c r="B1294" s="8" t="s">
        <v>889</v>
      </c>
      <c r="C1294" s="8" t="s">
        <v>13</v>
      </c>
      <c r="D1294" s="8" t="s">
        <v>9</v>
      </c>
      <c r="E1294" s="9">
        <v>13.9</v>
      </c>
      <c r="F1294" s="8" t="s">
        <v>10</v>
      </c>
      <c r="G1294" s="8">
        <v>41.7</v>
      </c>
      <c r="H1294" s="10">
        <f t="shared" si="40"/>
        <v>9</v>
      </c>
      <c r="I1294" s="10">
        <f>YEAR(Sheet1!$A1294)</f>
        <v>2024</v>
      </c>
      <c r="J1294" s="10">
        <f>DAY(Sheet1!$A1294)</f>
        <v>14</v>
      </c>
      <c r="K1294" s="12" t="s">
        <v>2023</v>
      </c>
      <c r="L1294" s="13" t="str">
        <f t="shared" si="41"/>
        <v>Regular Customer</v>
      </c>
    </row>
    <row r="1295" spans="1:12" ht="15.75" customHeight="1" x14ac:dyDescent="0.3">
      <c r="A1295" s="14">
        <v>45662</v>
      </c>
      <c r="B1295" s="15" t="s">
        <v>1581</v>
      </c>
      <c r="C1295" s="15" t="s">
        <v>13</v>
      </c>
      <c r="D1295" s="15" t="s">
        <v>9</v>
      </c>
      <c r="E1295" s="16">
        <v>20.86</v>
      </c>
      <c r="F1295" s="15" t="s">
        <v>10</v>
      </c>
      <c r="G1295" s="15">
        <v>41.72</v>
      </c>
      <c r="H1295" s="17">
        <f t="shared" si="40"/>
        <v>1</v>
      </c>
      <c r="I1295" s="17">
        <f>YEAR(Sheet1!$A1295)</f>
        <v>2025</v>
      </c>
      <c r="J1295" s="17">
        <f>DAY(Sheet1!$A1295)</f>
        <v>5</v>
      </c>
      <c r="K1295" s="18" t="s">
        <v>2022</v>
      </c>
      <c r="L1295" s="19" t="str">
        <f t="shared" si="41"/>
        <v>Regular Customer</v>
      </c>
    </row>
    <row r="1296" spans="1:12" ht="15.75" customHeight="1" x14ac:dyDescent="0.3">
      <c r="A1296" s="7">
        <v>45741</v>
      </c>
      <c r="B1296" s="8" t="s">
        <v>393</v>
      </c>
      <c r="C1296" s="8" t="s">
        <v>8</v>
      </c>
      <c r="D1296" s="8" t="s">
        <v>16</v>
      </c>
      <c r="E1296" s="9">
        <v>13.91</v>
      </c>
      <c r="F1296" s="8" t="s">
        <v>10</v>
      </c>
      <c r="G1296" s="8">
        <v>41.73</v>
      </c>
      <c r="H1296" s="10">
        <f t="shared" si="40"/>
        <v>3</v>
      </c>
      <c r="I1296" s="10">
        <f>YEAR(Sheet1!$A1296)</f>
        <v>2025</v>
      </c>
      <c r="J1296" s="10">
        <f>DAY(Sheet1!$A1296)</f>
        <v>25</v>
      </c>
      <c r="K1296" s="12" t="s">
        <v>2023</v>
      </c>
      <c r="L1296" s="13" t="str">
        <f t="shared" si="41"/>
        <v>Regular Customer</v>
      </c>
    </row>
    <row r="1297" spans="1:12" ht="15.75" customHeight="1" x14ac:dyDescent="0.3">
      <c r="A1297" s="14">
        <v>45547</v>
      </c>
      <c r="B1297" s="15" t="s">
        <v>1940</v>
      </c>
      <c r="C1297" s="15" t="s">
        <v>8</v>
      </c>
      <c r="D1297" s="15" t="s">
        <v>16</v>
      </c>
      <c r="E1297" s="16">
        <v>20.87</v>
      </c>
      <c r="F1297" s="15" t="s">
        <v>10</v>
      </c>
      <c r="G1297" s="15">
        <v>41.74</v>
      </c>
      <c r="H1297" s="17">
        <f t="shared" si="40"/>
        <v>9</v>
      </c>
      <c r="I1297" s="17">
        <f>YEAR(Sheet1!$A1297)</f>
        <v>2024</v>
      </c>
      <c r="J1297" s="17">
        <f>DAY(Sheet1!$A1297)</f>
        <v>12</v>
      </c>
      <c r="K1297" s="18" t="s">
        <v>2023</v>
      </c>
      <c r="L1297" s="19" t="str">
        <f t="shared" si="41"/>
        <v>Regular Customer</v>
      </c>
    </row>
    <row r="1298" spans="1:12" ht="15.75" customHeight="1" x14ac:dyDescent="0.3">
      <c r="A1298" s="7">
        <v>45567</v>
      </c>
      <c r="B1298" s="8" t="s">
        <v>918</v>
      </c>
      <c r="C1298" s="8" t="s">
        <v>8</v>
      </c>
      <c r="D1298" s="8" t="s">
        <v>19</v>
      </c>
      <c r="E1298" s="9">
        <v>20.88</v>
      </c>
      <c r="F1298" s="8" t="s">
        <v>10</v>
      </c>
      <c r="G1298" s="8">
        <v>41.76</v>
      </c>
      <c r="H1298" s="10">
        <f t="shared" si="40"/>
        <v>10</v>
      </c>
      <c r="I1298" s="10">
        <f>YEAR(Sheet1!$A1298)</f>
        <v>2024</v>
      </c>
      <c r="J1298" s="10">
        <f>DAY(Sheet1!$A1298)</f>
        <v>2</v>
      </c>
      <c r="K1298" s="12" t="s">
        <v>2022</v>
      </c>
      <c r="L1298" s="13" t="str">
        <f t="shared" si="41"/>
        <v>Regular Customer</v>
      </c>
    </row>
    <row r="1299" spans="1:12" ht="15.75" customHeight="1" x14ac:dyDescent="0.3">
      <c r="A1299" s="14">
        <v>45762</v>
      </c>
      <c r="B1299" s="15" t="s">
        <v>1396</v>
      </c>
      <c r="C1299" s="15" t="s">
        <v>8</v>
      </c>
      <c r="D1299" s="15" t="s">
        <v>16</v>
      </c>
      <c r="E1299" s="16">
        <v>20.88</v>
      </c>
      <c r="F1299" s="15" t="s">
        <v>10</v>
      </c>
      <c r="G1299" s="15">
        <v>41.76</v>
      </c>
      <c r="H1299" s="17">
        <f t="shared" si="40"/>
        <v>4</v>
      </c>
      <c r="I1299" s="17">
        <f>YEAR(Sheet1!$A1299)</f>
        <v>2025</v>
      </c>
      <c r="J1299" s="17">
        <f>DAY(Sheet1!$A1299)</f>
        <v>15</v>
      </c>
      <c r="K1299" s="18" t="s">
        <v>2023</v>
      </c>
      <c r="L1299" s="19" t="str">
        <f t="shared" si="41"/>
        <v>Regular Customer</v>
      </c>
    </row>
    <row r="1300" spans="1:12" ht="15.75" customHeight="1" x14ac:dyDescent="0.3">
      <c r="A1300" s="7">
        <v>45519</v>
      </c>
      <c r="B1300" s="8" t="s">
        <v>492</v>
      </c>
      <c r="C1300" s="8" t="s">
        <v>24</v>
      </c>
      <c r="D1300" s="8" t="s">
        <v>16</v>
      </c>
      <c r="E1300" s="9">
        <v>13.99</v>
      </c>
      <c r="F1300" s="8" t="s">
        <v>10</v>
      </c>
      <c r="G1300" s="8">
        <v>41.97</v>
      </c>
      <c r="H1300" s="10">
        <f t="shared" si="40"/>
        <v>8</v>
      </c>
      <c r="I1300" s="10">
        <f>YEAR(Sheet1!$A1300)</f>
        <v>2024</v>
      </c>
      <c r="J1300" s="10">
        <f>DAY(Sheet1!$A1300)</f>
        <v>15</v>
      </c>
      <c r="K1300" s="12" t="s">
        <v>2023</v>
      </c>
      <c r="L1300" s="13" t="str">
        <f t="shared" si="41"/>
        <v>Regular Customer</v>
      </c>
    </row>
    <row r="1301" spans="1:12" ht="15.75" customHeight="1" x14ac:dyDescent="0.3">
      <c r="A1301" s="14">
        <v>45697</v>
      </c>
      <c r="B1301" s="15" t="s">
        <v>1265</v>
      </c>
      <c r="C1301" s="15" t="s">
        <v>24</v>
      </c>
      <c r="D1301" s="15" t="s">
        <v>19</v>
      </c>
      <c r="E1301" s="16">
        <v>13.99</v>
      </c>
      <c r="F1301" s="15" t="s">
        <v>10</v>
      </c>
      <c r="G1301" s="15">
        <v>41.97</v>
      </c>
      <c r="H1301" s="17">
        <f t="shared" si="40"/>
        <v>2</v>
      </c>
      <c r="I1301" s="17">
        <f>YEAR(Sheet1!$A1301)</f>
        <v>2025</v>
      </c>
      <c r="J1301" s="17">
        <f>DAY(Sheet1!$A1301)</f>
        <v>9</v>
      </c>
      <c r="K1301" s="18" t="s">
        <v>2022</v>
      </c>
      <c r="L1301" s="19" t="str">
        <f t="shared" si="41"/>
        <v>Regular Customer</v>
      </c>
    </row>
    <row r="1302" spans="1:12" ht="15.75" customHeight="1" x14ac:dyDescent="0.3">
      <c r="A1302" s="7">
        <v>45455</v>
      </c>
      <c r="B1302" s="8" t="s">
        <v>630</v>
      </c>
      <c r="C1302" s="8" t="s">
        <v>13</v>
      </c>
      <c r="D1302" s="8" t="s">
        <v>19</v>
      </c>
      <c r="E1302" s="9">
        <v>21.01</v>
      </c>
      <c r="F1302" s="8" t="s">
        <v>10</v>
      </c>
      <c r="G1302" s="8">
        <v>42.02</v>
      </c>
      <c r="H1302" s="10">
        <f t="shared" si="40"/>
        <v>6</v>
      </c>
      <c r="I1302" s="10">
        <f>YEAR(Sheet1!$A1302)</f>
        <v>2024</v>
      </c>
      <c r="J1302" s="10">
        <f>DAY(Sheet1!$A1302)</f>
        <v>12</v>
      </c>
      <c r="K1302" s="12" t="s">
        <v>2023</v>
      </c>
      <c r="L1302" s="13" t="str">
        <f t="shared" si="41"/>
        <v>Regular Customer</v>
      </c>
    </row>
    <row r="1303" spans="1:12" ht="15.75" customHeight="1" x14ac:dyDescent="0.3">
      <c r="A1303" s="14">
        <v>45520</v>
      </c>
      <c r="B1303" s="15" t="s">
        <v>699</v>
      </c>
      <c r="C1303" s="15" t="s">
        <v>24</v>
      </c>
      <c r="D1303" s="15" t="s">
        <v>19</v>
      </c>
      <c r="E1303" s="16">
        <v>14.01</v>
      </c>
      <c r="F1303" s="15" t="s">
        <v>11</v>
      </c>
      <c r="G1303" s="15">
        <v>42.03</v>
      </c>
      <c r="H1303" s="17">
        <f t="shared" si="40"/>
        <v>8</v>
      </c>
      <c r="I1303" s="17">
        <f>YEAR(Sheet1!$A1303)</f>
        <v>2024</v>
      </c>
      <c r="J1303" s="17">
        <f>DAY(Sheet1!$A1303)</f>
        <v>16</v>
      </c>
      <c r="K1303" s="18" t="s">
        <v>2023</v>
      </c>
      <c r="L1303" s="19" t="str">
        <f t="shared" si="41"/>
        <v>Regular Customer</v>
      </c>
    </row>
    <row r="1304" spans="1:12" ht="15.75" customHeight="1" x14ac:dyDescent="0.3">
      <c r="A1304" s="7">
        <v>45712</v>
      </c>
      <c r="B1304" s="8" t="s">
        <v>1640</v>
      </c>
      <c r="C1304" s="8" t="s">
        <v>8</v>
      </c>
      <c r="D1304" s="8" t="s">
        <v>14</v>
      </c>
      <c r="E1304" s="9">
        <v>21.02</v>
      </c>
      <c r="F1304" s="8" t="s">
        <v>10</v>
      </c>
      <c r="G1304" s="8">
        <v>42.04</v>
      </c>
      <c r="H1304" s="10">
        <f t="shared" si="40"/>
        <v>2</v>
      </c>
      <c r="I1304" s="10">
        <f>YEAR(Sheet1!$A1304)</f>
        <v>2025</v>
      </c>
      <c r="J1304" s="10">
        <f>DAY(Sheet1!$A1304)</f>
        <v>24</v>
      </c>
      <c r="K1304" s="12" t="s">
        <v>2022</v>
      </c>
      <c r="L1304" s="13" t="str">
        <f t="shared" si="41"/>
        <v>Regular Customer</v>
      </c>
    </row>
    <row r="1305" spans="1:12" ht="15.75" customHeight="1" x14ac:dyDescent="0.3">
      <c r="A1305" s="14">
        <v>45617</v>
      </c>
      <c r="B1305" s="15" t="s">
        <v>104</v>
      </c>
      <c r="C1305" s="15" t="s">
        <v>24</v>
      </c>
      <c r="D1305" s="15" t="s">
        <v>19</v>
      </c>
      <c r="E1305" s="16">
        <v>21.05</v>
      </c>
      <c r="F1305" s="15" t="s">
        <v>11</v>
      </c>
      <c r="G1305" s="15">
        <v>42.1</v>
      </c>
      <c r="H1305" s="17">
        <f t="shared" si="40"/>
        <v>11</v>
      </c>
      <c r="I1305" s="17">
        <f>YEAR(Sheet1!$A1305)</f>
        <v>2024</v>
      </c>
      <c r="J1305" s="17">
        <f>DAY(Sheet1!$A1305)</f>
        <v>21</v>
      </c>
      <c r="K1305" s="18" t="s">
        <v>2023</v>
      </c>
      <c r="L1305" s="19" t="str">
        <f t="shared" si="41"/>
        <v>Regular Customer</v>
      </c>
    </row>
    <row r="1306" spans="1:12" ht="15.75" customHeight="1" x14ac:dyDescent="0.3">
      <c r="A1306" s="7">
        <v>45491</v>
      </c>
      <c r="B1306" s="8" t="s">
        <v>851</v>
      </c>
      <c r="C1306" s="8" t="s">
        <v>8</v>
      </c>
      <c r="D1306" s="8" t="s">
        <v>16</v>
      </c>
      <c r="E1306" s="9">
        <v>14.07</v>
      </c>
      <c r="F1306" s="8" t="s">
        <v>10</v>
      </c>
      <c r="G1306" s="8">
        <v>42.21</v>
      </c>
      <c r="H1306" s="10">
        <f t="shared" si="40"/>
        <v>7</v>
      </c>
      <c r="I1306" s="10">
        <f>YEAR(Sheet1!$A1306)</f>
        <v>2024</v>
      </c>
      <c r="J1306" s="10">
        <f>DAY(Sheet1!$A1306)</f>
        <v>18</v>
      </c>
      <c r="K1306" s="12" t="s">
        <v>2023</v>
      </c>
      <c r="L1306" s="13" t="str">
        <f t="shared" si="41"/>
        <v>Regular Customer</v>
      </c>
    </row>
    <row r="1307" spans="1:12" ht="15.75" customHeight="1" x14ac:dyDescent="0.3">
      <c r="A1307" s="14">
        <v>45548</v>
      </c>
      <c r="B1307" s="15" t="s">
        <v>1046</v>
      </c>
      <c r="C1307" s="15" t="s">
        <v>18</v>
      </c>
      <c r="D1307" s="15" t="s">
        <v>19</v>
      </c>
      <c r="E1307" s="16">
        <v>14.07</v>
      </c>
      <c r="F1307" s="15" t="s">
        <v>10</v>
      </c>
      <c r="G1307" s="15">
        <v>42.21</v>
      </c>
      <c r="H1307" s="17">
        <f t="shared" si="40"/>
        <v>9</v>
      </c>
      <c r="I1307" s="17">
        <f>YEAR(Sheet1!$A1307)</f>
        <v>2024</v>
      </c>
      <c r="J1307" s="17">
        <f>DAY(Sheet1!$A1307)</f>
        <v>13</v>
      </c>
      <c r="K1307" s="18" t="s">
        <v>2022</v>
      </c>
      <c r="L1307" s="19" t="str">
        <f t="shared" si="41"/>
        <v>Regular Customer</v>
      </c>
    </row>
    <row r="1308" spans="1:12" ht="15.75" customHeight="1" x14ac:dyDescent="0.3">
      <c r="A1308" s="7">
        <v>45564</v>
      </c>
      <c r="B1308" s="8" t="s">
        <v>801</v>
      </c>
      <c r="C1308" s="8" t="s">
        <v>13</v>
      </c>
      <c r="D1308" s="8" t="s">
        <v>14</v>
      </c>
      <c r="E1308" s="9">
        <v>14.07</v>
      </c>
      <c r="F1308" s="8" t="s">
        <v>10</v>
      </c>
      <c r="G1308" s="8">
        <v>42.21</v>
      </c>
      <c r="H1308" s="10">
        <f t="shared" si="40"/>
        <v>9</v>
      </c>
      <c r="I1308" s="10">
        <f>YEAR(Sheet1!$A1308)</f>
        <v>2024</v>
      </c>
      <c r="J1308" s="10">
        <f>DAY(Sheet1!$A1308)</f>
        <v>29</v>
      </c>
      <c r="K1308" s="12" t="s">
        <v>2022</v>
      </c>
      <c r="L1308" s="13" t="str">
        <f t="shared" si="41"/>
        <v>Regular Customer</v>
      </c>
    </row>
    <row r="1309" spans="1:12" ht="15.75" customHeight="1" x14ac:dyDescent="0.3">
      <c r="A1309" s="14">
        <v>45726</v>
      </c>
      <c r="B1309" s="15" t="s">
        <v>1696</v>
      </c>
      <c r="C1309" s="15" t="s">
        <v>13</v>
      </c>
      <c r="D1309" s="15" t="s">
        <v>19</v>
      </c>
      <c r="E1309" s="16">
        <v>14.08</v>
      </c>
      <c r="F1309" s="15" t="s">
        <v>11</v>
      </c>
      <c r="G1309" s="15">
        <v>42.24</v>
      </c>
      <c r="H1309" s="17">
        <f t="shared" si="40"/>
        <v>3</v>
      </c>
      <c r="I1309" s="17">
        <f>YEAR(Sheet1!$A1309)</f>
        <v>2025</v>
      </c>
      <c r="J1309" s="17">
        <f>DAY(Sheet1!$A1309)</f>
        <v>10</v>
      </c>
      <c r="K1309" s="18" t="s">
        <v>2022</v>
      </c>
      <c r="L1309" s="19" t="str">
        <f t="shared" si="41"/>
        <v>Regular Customer</v>
      </c>
    </row>
    <row r="1310" spans="1:12" ht="15.75" customHeight="1" x14ac:dyDescent="0.3">
      <c r="A1310" s="7">
        <v>45706</v>
      </c>
      <c r="B1310" s="8" t="s">
        <v>503</v>
      </c>
      <c r="C1310" s="8" t="s">
        <v>13</v>
      </c>
      <c r="D1310" s="8" t="s">
        <v>9</v>
      </c>
      <c r="E1310" s="9">
        <v>21.13</v>
      </c>
      <c r="F1310" s="8" t="s">
        <v>11</v>
      </c>
      <c r="G1310" s="8">
        <v>42.26</v>
      </c>
      <c r="H1310" s="10">
        <f t="shared" si="40"/>
        <v>2</v>
      </c>
      <c r="I1310" s="10">
        <f>YEAR(Sheet1!$A1310)</f>
        <v>2025</v>
      </c>
      <c r="J1310" s="10">
        <f>DAY(Sheet1!$A1310)</f>
        <v>18</v>
      </c>
      <c r="K1310" s="12" t="s">
        <v>2023</v>
      </c>
      <c r="L1310" s="13" t="str">
        <f t="shared" si="41"/>
        <v>Regular Customer</v>
      </c>
    </row>
    <row r="1311" spans="1:12" ht="15.75" customHeight="1" x14ac:dyDescent="0.3">
      <c r="A1311" s="14">
        <v>45724</v>
      </c>
      <c r="B1311" s="15" t="s">
        <v>441</v>
      </c>
      <c r="C1311" s="15" t="s">
        <v>13</v>
      </c>
      <c r="D1311" s="15" t="s">
        <v>9</v>
      </c>
      <c r="E1311" s="16">
        <v>21.13</v>
      </c>
      <c r="F1311" s="15" t="s">
        <v>11</v>
      </c>
      <c r="G1311" s="15">
        <v>42.26</v>
      </c>
      <c r="H1311" s="17">
        <f t="shared" si="40"/>
        <v>3</v>
      </c>
      <c r="I1311" s="17">
        <f>YEAR(Sheet1!$A1311)</f>
        <v>2025</v>
      </c>
      <c r="J1311" s="17">
        <f>DAY(Sheet1!$A1311)</f>
        <v>8</v>
      </c>
      <c r="K1311" s="18" t="s">
        <v>2022</v>
      </c>
      <c r="L1311" s="19" t="str">
        <f t="shared" si="41"/>
        <v>Regular Customer</v>
      </c>
    </row>
    <row r="1312" spans="1:12" ht="15.75" customHeight="1" x14ac:dyDescent="0.3">
      <c r="A1312" s="7">
        <v>45728</v>
      </c>
      <c r="B1312" s="8" t="s">
        <v>1054</v>
      </c>
      <c r="C1312" s="8" t="s">
        <v>8</v>
      </c>
      <c r="D1312" s="8" t="s">
        <v>9</v>
      </c>
      <c r="E1312" s="9">
        <v>21.13</v>
      </c>
      <c r="F1312" s="8" t="s">
        <v>11</v>
      </c>
      <c r="G1312" s="8">
        <v>42.26</v>
      </c>
      <c r="H1312" s="10">
        <f t="shared" si="40"/>
        <v>3</v>
      </c>
      <c r="I1312" s="10">
        <f>YEAR(Sheet1!$A1312)</f>
        <v>2025</v>
      </c>
      <c r="J1312" s="10">
        <f>DAY(Sheet1!$A1312)</f>
        <v>12</v>
      </c>
      <c r="K1312" s="12" t="s">
        <v>2022</v>
      </c>
      <c r="L1312" s="13" t="str">
        <f t="shared" si="41"/>
        <v>Regular Customer</v>
      </c>
    </row>
    <row r="1313" spans="1:12" ht="15.75" customHeight="1" x14ac:dyDescent="0.3">
      <c r="A1313" s="14">
        <v>45717</v>
      </c>
      <c r="B1313" s="15" t="s">
        <v>1173</v>
      </c>
      <c r="C1313" s="15" t="s">
        <v>13</v>
      </c>
      <c r="D1313" s="15" t="s">
        <v>9</v>
      </c>
      <c r="E1313" s="16">
        <v>14.09</v>
      </c>
      <c r="F1313" s="15" t="s">
        <v>11</v>
      </c>
      <c r="G1313" s="15">
        <v>42.27</v>
      </c>
      <c r="H1313" s="17">
        <f t="shared" si="40"/>
        <v>3</v>
      </c>
      <c r="I1313" s="17">
        <f>YEAR(Sheet1!$A1313)</f>
        <v>2025</v>
      </c>
      <c r="J1313" s="17">
        <f>DAY(Sheet1!$A1313)</f>
        <v>1</v>
      </c>
      <c r="K1313" s="18" t="s">
        <v>2023</v>
      </c>
      <c r="L1313" s="19" t="str">
        <f t="shared" si="41"/>
        <v>Regular Customer</v>
      </c>
    </row>
    <row r="1314" spans="1:12" ht="15.75" customHeight="1" x14ac:dyDescent="0.3">
      <c r="A1314" s="7">
        <v>45647</v>
      </c>
      <c r="B1314" s="8" t="s">
        <v>873</v>
      </c>
      <c r="C1314" s="8" t="s">
        <v>24</v>
      </c>
      <c r="D1314" s="8" t="s">
        <v>16</v>
      </c>
      <c r="E1314" s="9">
        <v>14.12</v>
      </c>
      <c r="F1314" s="8" t="s">
        <v>11</v>
      </c>
      <c r="G1314" s="8">
        <v>42.36</v>
      </c>
      <c r="H1314" s="10">
        <f t="shared" si="40"/>
        <v>12</v>
      </c>
      <c r="I1314" s="10">
        <f>YEAR(Sheet1!$A1314)</f>
        <v>2024</v>
      </c>
      <c r="J1314" s="10">
        <f>DAY(Sheet1!$A1314)</f>
        <v>21</v>
      </c>
      <c r="K1314" s="12" t="s">
        <v>2022</v>
      </c>
      <c r="L1314" s="13" t="str">
        <f t="shared" si="41"/>
        <v>Regular Customer</v>
      </c>
    </row>
    <row r="1315" spans="1:12" ht="15.75" customHeight="1" x14ac:dyDescent="0.3">
      <c r="A1315" s="14">
        <v>45662</v>
      </c>
      <c r="B1315" s="15" t="s">
        <v>615</v>
      </c>
      <c r="C1315" s="15" t="s">
        <v>8</v>
      </c>
      <c r="D1315" s="15" t="s">
        <v>19</v>
      </c>
      <c r="E1315" s="16">
        <v>14.16</v>
      </c>
      <c r="F1315" s="15" t="s">
        <v>11</v>
      </c>
      <c r="G1315" s="15">
        <v>42.48</v>
      </c>
      <c r="H1315" s="17">
        <f t="shared" si="40"/>
        <v>1</v>
      </c>
      <c r="I1315" s="17">
        <f>YEAR(Sheet1!$A1315)</f>
        <v>2025</v>
      </c>
      <c r="J1315" s="17">
        <f>DAY(Sheet1!$A1315)</f>
        <v>5</v>
      </c>
      <c r="K1315" s="18" t="s">
        <v>2022</v>
      </c>
      <c r="L1315" s="19" t="str">
        <f t="shared" si="41"/>
        <v>Regular Customer</v>
      </c>
    </row>
    <row r="1316" spans="1:12" ht="15.75" customHeight="1" x14ac:dyDescent="0.3">
      <c r="A1316" s="7">
        <v>45567</v>
      </c>
      <c r="B1316" s="8" t="s">
        <v>212</v>
      </c>
      <c r="C1316" s="8" t="s">
        <v>18</v>
      </c>
      <c r="D1316" s="8" t="s">
        <v>14</v>
      </c>
      <c r="E1316" s="9">
        <v>21.28</v>
      </c>
      <c r="F1316" s="8" t="s">
        <v>10</v>
      </c>
      <c r="G1316" s="8">
        <v>42.56</v>
      </c>
      <c r="H1316" s="10">
        <f t="shared" si="40"/>
        <v>10</v>
      </c>
      <c r="I1316" s="10">
        <f>YEAR(Sheet1!$A1316)</f>
        <v>2024</v>
      </c>
      <c r="J1316" s="10">
        <f>DAY(Sheet1!$A1316)</f>
        <v>2</v>
      </c>
      <c r="K1316" s="12" t="s">
        <v>2022</v>
      </c>
      <c r="L1316" s="13" t="str">
        <f t="shared" si="41"/>
        <v>Regular Customer</v>
      </c>
    </row>
    <row r="1317" spans="1:12" ht="15.75" customHeight="1" x14ac:dyDescent="0.3">
      <c r="A1317" s="14">
        <v>45489</v>
      </c>
      <c r="B1317" s="15" t="s">
        <v>769</v>
      </c>
      <c r="C1317" s="15" t="s">
        <v>13</v>
      </c>
      <c r="D1317" s="15" t="s">
        <v>9</v>
      </c>
      <c r="E1317" s="16">
        <v>14.19</v>
      </c>
      <c r="F1317" s="15" t="s">
        <v>10</v>
      </c>
      <c r="G1317" s="15">
        <v>42.57</v>
      </c>
      <c r="H1317" s="17">
        <f t="shared" si="40"/>
        <v>7</v>
      </c>
      <c r="I1317" s="17">
        <f>YEAR(Sheet1!$A1317)</f>
        <v>2024</v>
      </c>
      <c r="J1317" s="17">
        <f>DAY(Sheet1!$A1317)</f>
        <v>16</v>
      </c>
      <c r="K1317" s="18" t="s">
        <v>2022</v>
      </c>
      <c r="L1317" s="19" t="str">
        <f t="shared" si="41"/>
        <v>Regular Customer</v>
      </c>
    </row>
    <row r="1318" spans="1:12" ht="15.75" customHeight="1" x14ac:dyDescent="0.3">
      <c r="A1318" s="7">
        <v>45516</v>
      </c>
      <c r="B1318" s="8" t="s">
        <v>1814</v>
      </c>
      <c r="C1318" s="8" t="s">
        <v>13</v>
      </c>
      <c r="D1318" s="8" t="s">
        <v>14</v>
      </c>
      <c r="E1318" s="9">
        <v>21.31</v>
      </c>
      <c r="F1318" s="8" t="s">
        <v>10</v>
      </c>
      <c r="G1318" s="8">
        <v>42.62</v>
      </c>
      <c r="H1318" s="10">
        <f t="shared" si="40"/>
        <v>8</v>
      </c>
      <c r="I1318" s="10">
        <f>YEAR(Sheet1!$A1318)</f>
        <v>2024</v>
      </c>
      <c r="J1318" s="10">
        <f>DAY(Sheet1!$A1318)</f>
        <v>12</v>
      </c>
      <c r="K1318" s="12" t="s">
        <v>2023</v>
      </c>
      <c r="L1318" s="13" t="str">
        <f t="shared" si="41"/>
        <v>Regular Customer</v>
      </c>
    </row>
    <row r="1319" spans="1:12" ht="15.75" customHeight="1" x14ac:dyDescent="0.3">
      <c r="A1319" s="14">
        <v>45431</v>
      </c>
      <c r="B1319" s="15" t="s">
        <v>1642</v>
      </c>
      <c r="C1319" s="15" t="s">
        <v>13</v>
      </c>
      <c r="D1319" s="15" t="s">
        <v>16</v>
      </c>
      <c r="E1319" s="16">
        <v>21.33</v>
      </c>
      <c r="F1319" s="15" t="s">
        <v>11</v>
      </c>
      <c r="G1319" s="15">
        <v>42.66</v>
      </c>
      <c r="H1319" s="17">
        <f t="shared" si="40"/>
        <v>5</v>
      </c>
      <c r="I1319" s="17">
        <f>YEAR(Sheet1!$A1319)</f>
        <v>2024</v>
      </c>
      <c r="J1319" s="17">
        <f>DAY(Sheet1!$A1319)</f>
        <v>19</v>
      </c>
      <c r="K1319" s="18" t="s">
        <v>2022</v>
      </c>
      <c r="L1319" s="19" t="str">
        <f t="shared" si="41"/>
        <v>Regular Customer</v>
      </c>
    </row>
    <row r="1320" spans="1:12" ht="15.75" customHeight="1" x14ac:dyDescent="0.3">
      <c r="A1320" s="7">
        <v>45722</v>
      </c>
      <c r="B1320" s="8" t="s">
        <v>1836</v>
      </c>
      <c r="C1320" s="8" t="s">
        <v>13</v>
      </c>
      <c r="D1320" s="8" t="s">
        <v>16</v>
      </c>
      <c r="E1320" s="9">
        <v>21.33</v>
      </c>
      <c r="F1320" s="8" t="s">
        <v>10</v>
      </c>
      <c r="G1320" s="8">
        <v>42.66</v>
      </c>
      <c r="H1320" s="10">
        <f t="shared" si="40"/>
        <v>3</v>
      </c>
      <c r="I1320" s="10">
        <f>YEAR(Sheet1!$A1320)</f>
        <v>2025</v>
      </c>
      <c r="J1320" s="10">
        <f>DAY(Sheet1!$A1320)</f>
        <v>6</v>
      </c>
      <c r="K1320" s="12" t="s">
        <v>2022</v>
      </c>
      <c r="L1320" s="13" t="str">
        <f t="shared" si="41"/>
        <v>Regular Customer</v>
      </c>
    </row>
    <row r="1321" spans="1:12" ht="15.75" customHeight="1" x14ac:dyDescent="0.3">
      <c r="A1321" s="14">
        <v>45755</v>
      </c>
      <c r="B1321" s="15" t="s">
        <v>790</v>
      </c>
      <c r="C1321" s="15" t="s">
        <v>13</v>
      </c>
      <c r="D1321" s="15" t="s">
        <v>14</v>
      </c>
      <c r="E1321" s="16">
        <v>21.35</v>
      </c>
      <c r="F1321" s="15" t="s">
        <v>10</v>
      </c>
      <c r="G1321" s="15">
        <v>42.7</v>
      </c>
      <c r="H1321" s="17">
        <f t="shared" si="40"/>
        <v>4</v>
      </c>
      <c r="I1321" s="17">
        <f>YEAR(Sheet1!$A1321)</f>
        <v>2025</v>
      </c>
      <c r="J1321" s="17">
        <f>DAY(Sheet1!$A1321)</f>
        <v>8</v>
      </c>
      <c r="K1321" s="18" t="s">
        <v>2022</v>
      </c>
      <c r="L1321" s="19" t="str">
        <f t="shared" si="41"/>
        <v>Regular Customer</v>
      </c>
    </row>
    <row r="1322" spans="1:12" ht="15.75" customHeight="1" x14ac:dyDescent="0.3">
      <c r="A1322" s="7">
        <v>45477</v>
      </c>
      <c r="B1322" s="8" t="s">
        <v>1343</v>
      </c>
      <c r="C1322" s="8" t="s">
        <v>13</v>
      </c>
      <c r="D1322" s="8" t="s">
        <v>19</v>
      </c>
      <c r="E1322" s="9">
        <v>21.36</v>
      </c>
      <c r="F1322" s="8" t="s">
        <v>10</v>
      </c>
      <c r="G1322" s="8">
        <v>42.72</v>
      </c>
      <c r="H1322" s="10">
        <f t="shared" si="40"/>
        <v>7</v>
      </c>
      <c r="I1322" s="10">
        <f>YEAR(Sheet1!$A1322)</f>
        <v>2024</v>
      </c>
      <c r="J1322" s="10">
        <f>DAY(Sheet1!$A1322)</f>
        <v>4</v>
      </c>
      <c r="K1322" s="12" t="s">
        <v>2022</v>
      </c>
      <c r="L1322" s="13" t="str">
        <f t="shared" si="41"/>
        <v>Regular Customer</v>
      </c>
    </row>
    <row r="1323" spans="1:12" ht="15.75" customHeight="1" x14ac:dyDescent="0.3">
      <c r="A1323" s="14">
        <v>45546</v>
      </c>
      <c r="B1323" s="15" t="s">
        <v>143</v>
      </c>
      <c r="C1323" s="15" t="s">
        <v>13</v>
      </c>
      <c r="D1323" s="15" t="s">
        <v>19</v>
      </c>
      <c r="E1323" s="16">
        <v>14.24</v>
      </c>
      <c r="F1323" s="15" t="s">
        <v>10</v>
      </c>
      <c r="G1323" s="15">
        <v>42.72</v>
      </c>
      <c r="H1323" s="17">
        <f t="shared" si="40"/>
        <v>9</v>
      </c>
      <c r="I1323" s="17">
        <f>YEAR(Sheet1!$A1323)</f>
        <v>2024</v>
      </c>
      <c r="J1323" s="17">
        <f>DAY(Sheet1!$A1323)</f>
        <v>11</v>
      </c>
      <c r="K1323" s="18" t="s">
        <v>2023</v>
      </c>
      <c r="L1323" s="19" t="str">
        <f t="shared" si="41"/>
        <v>Regular Customer</v>
      </c>
    </row>
    <row r="1324" spans="1:12" ht="15.75" customHeight="1" x14ac:dyDescent="0.3">
      <c r="A1324" s="7">
        <v>45477</v>
      </c>
      <c r="B1324" s="8" t="s">
        <v>120</v>
      </c>
      <c r="C1324" s="8" t="s">
        <v>24</v>
      </c>
      <c r="D1324" s="8" t="s">
        <v>16</v>
      </c>
      <c r="E1324" s="9">
        <v>21.38</v>
      </c>
      <c r="F1324" s="8" t="s">
        <v>11</v>
      </c>
      <c r="G1324" s="8">
        <v>42.76</v>
      </c>
      <c r="H1324" s="10">
        <f t="shared" si="40"/>
        <v>7</v>
      </c>
      <c r="I1324" s="10">
        <f>YEAR(Sheet1!$A1324)</f>
        <v>2024</v>
      </c>
      <c r="J1324" s="10">
        <f>DAY(Sheet1!$A1324)</f>
        <v>4</v>
      </c>
      <c r="K1324" s="12" t="s">
        <v>2023</v>
      </c>
      <c r="L1324" s="13" t="str">
        <f t="shared" si="41"/>
        <v>Regular Customer</v>
      </c>
    </row>
    <row r="1325" spans="1:12" ht="15.75" customHeight="1" x14ac:dyDescent="0.3">
      <c r="A1325" s="14">
        <v>45493</v>
      </c>
      <c r="B1325" s="15" t="s">
        <v>289</v>
      </c>
      <c r="C1325" s="15" t="s">
        <v>18</v>
      </c>
      <c r="D1325" s="15" t="s">
        <v>9</v>
      </c>
      <c r="E1325" s="16">
        <v>21.38</v>
      </c>
      <c r="F1325" s="15" t="s">
        <v>10</v>
      </c>
      <c r="G1325" s="15">
        <v>42.76</v>
      </c>
      <c r="H1325" s="17">
        <f t="shared" si="40"/>
        <v>7</v>
      </c>
      <c r="I1325" s="17">
        <f>YEAR(Sheet1!$A1325)</f>
        <v>2024</v>
      </c>
      <c r="J1325" s="17">
        <f>DAY(Sheet1!$A1325)</f>
        <v>20</v>
      </c>
      <c r="K1325" s="18" t="s">
        <v>2023</v>
      </c>
      <c r="L1325" s="19" t="str">
        <f t="shared" si="41"/>
        <v>Regular Customer</v>
      </c>
    </row>
    <row r="1326" spans="1:12" ht="15.75" customHeight="1" x14ac:dyDescent="0.3">
      <c r="A1326" s="7">
        <v>45648</v>
      </c>
      <c r="B1326" s="8" t="s">
        <v>215</v>
      </c>
      <c r="C1326" s="8" t="s">
        <v>18</v>
      </c>
      <c r="D1326" s="8" t="s">
        <v>14</v>
      </c>
      <c r="E1326" s="9">
        <v>21.39</v>
      </c>
      <c r="F1326" s="8" t="s">
        <v>10</v>
      </c>
      <c r="G1326" s="8">
        <v>42.78</v>
      </c>
      <c r="H1326" s="10">
        <f t="shared" si="40"/>
        <v>12</v>
      </c>
      <c r="I1326" s="10">
        <f>YEAR(Sheet1!$A1326)</f>
        <v>2024</v>
      </c>
      <c r="J1326" s="10">
        <f>DAY(Sheet1!$A1326)</f>
        <v>22</v>
      </c>
      <c r="K1326" s="12" t="s">
        <v>2022</v>
      </c>
      <c r="L1326" s="13" t="str">
        <f t="shared" si="41"/>
        <v>Regular Customer</v>
      </c>
    </row>
    <row r="1327" spans="1:12" ht="15.75" customHeight="1" x14ac:dyDescent="0.3">
      <c r="A1327" s="14">
        <v>45523</v>
      </c>
      <c r="B1327" s="15" t="s">
        <v>1551</v>
      </c>
      <c r="C1327" s="15" t="s">
        <v>24</v>
      </c>
      <c r="D1327" s="15" t="s">
        <v>14</v>
      </c>
      <c r="E1327" s="16">
        <v>21.4</v>
      </c>
      <c r="F1327" s="15" t="s">
        <v>10</v>
      </c>
      <c r="G1327" s="15">
        <v>42.8</v>
      </c>
      <c r="H1327" s="17">
        <f t="shared" si="40"/>
        <v>8</v>
      </c>
      <c r="I1327" s="17">
        <f>YEAR(Sheet1!$A1327)</f>
        <v>2024</v>
      </c>
      <c r="J1327" s="17">
        <f>DAY(Sheet1!$A1327)</f>
        <v>19</v>
      </c>
      <c r="K1327" s="18" t="s">
        <v>2022</v>
      </c>
      <c r="L1327" s="19" t="str">
        <f t="shared" si="41"/>
        <v>Regular Customer</v>
      </c>
    </row>
    <row r="1328" spans="1:12" ht="15.75" customHeight="1" x14ac:dyDescent="0.3">
      <c r="A1328" s="7">
        <v>45775</v>
      </c>
      <c r="B1328" s="8" t="s">
        <v>1303</v>
      </c>
      <c r="C1328" s="8" t="s">
        <v>13</v>
      </c>
      <c r="D1328" s="8" t="s">
        <v>19</v>
      </c>
      <c r="E1328" s="9">
        <v>21.4</v>
      </c>
      <c r="F1328" s="8" t="s">
        <v>10</v>
      </c>
      <c r="G1328" s="8">
        <v>42.8</v>
      </c>
      <c r="H1328" s="10">
        <f t="shared" si="40"/>
        <v>4</v>
      </c>
      <c r="I1328" s="10">
        <f>YEAR(Sheet1!$A1328)</f>
        <v>2025</v>
      </c>
      <c r="J1328" s="10">
        <f>DAY(Sheet1!$A1328)</f>
        <v>28</v>
      </c>
      <c r="K1328" s="12" t="s">
        <v>2023</v>
      </c>
      <c r="L1328" s="13" t="str">
        <f t="shared" si="41"/>
        <v>Regular Customer</v>
      </c>
    </row>
    <row r="1329" spans="1:12" ht="15.75" customHeight="1" x14ac:dyDescent="0.3">
      <c r="A1329" s="14">
        <v>45634</v>
      </c>
      <c r="B1329" s="15" t="s">
        <v>765</v>
      </c>
      <c r="C1329" s="15" t="s">
        <v>18</v>
      </c>
      <c r="D1329" s="15" t="s">
        <v>16</v>
      </c>
      <c r="E1329" s="16">
        <v>21.41</v>
      </c>
      <c r="F1329" s="15" t="s">
        <v>11</v>
      </c>
      <c r="G1329" s="15">
        <v>42.82</v>
      </c>
      <c r="H1329" s="17">
        <f t="shared" si="40"/>
        <v>12</v>
      </c>
      <c r="I1329" s="17">
        <f>YEAR(Sheet1!$A1329)</f>
        <v>2024</v>
      </c>
      <c r="J1329" s="17">
        <f>DAY(Sheet1!$A1329)</f>
        <v>8</v>
      </c>
      <c r="K1329" s="18" t="s">
        <v>2022</v>
      </c>
      <c r="L1329" s="19" t="str">
        <f t="shared" si="41"/>
        <v>Regular Customer</v>
      </c>
    </row>
    <row r="1330" spans="1:12" ht="15.75" customHeight="1" x14ac:dyDescent="0.3">
      <c r="A1330" s="7">
        <v>45669</v>
      </c>
      <c r="B1330" s="8" t="s">
        <v>1324</v>
      </c>
      <c r="C1330" s="8" t="s">
        <v>18</v>
      </c>
      <c r="D1330" s="8" t="s">
        <v>16</v>
      </c>
      <c r="E1330" s="9">
        <v>21.44</v>
      </c>
      <c r="F1330" s="8" t="s">
        <v>11</v>
      </c>
      <c r="G1330" s="8">
        <v>42.88</v>
      </c>
      <c r="H1330" s="10">
        <f t="shared" si="40"/>
        <v>1</v>
      </c>
      <c r="I1330" s="10">
        <f>YEAR(Sheet1!$A1330)</f>
        <v>2025</v>
      </c>
      <c r="J1330" s="10">
        <f>DAY(Sheet1!$A1330)</f>
        <v>12</v>
      </c>
      <c r="K1330" s="12" t="s">
        <v>2023</v>
      </c>
      <c r="L1330" s="13" t="str">
        <f t="shared" si="41"/>
        <v>Regular Customer</v>
      </c>
    </row>
    <row r="1331" spans="1:12" ht="15.75" customHeight="1" x14ac:dyDescent="0.3">
      <c r="A1331" s="14">
        <v>45491</v>
      </c>
      <c r="B1331" s="15" t="s">
        <v>679</v>
      </c>
      <c r="C1331" s="15" t="s">
        <v>18</v>
      </c>
      <c r="D1331" s="15" t="s">
        <v>19</v>
      </c>
      <c r="E1331" s="16">
        <v>14.3</v>
      </c>
      <c r="F1331" s="15" t="s">
        <v>11</v>
      </c>
      <c r="G1331" s="15">
        <v>42.9</v>
      </c>
      <c r="H1331" s="17">
        <f t="shared" si="40"/>
        <v>7</v>
      </c>
      <c r="I1331" s="17">
        <f>YEAR(Sheet1!$A1331)</f>
        <v>2024</v>
      </c>
      <c r="J1331" s="17">
        <f>DAY(Sheet1!$A1331)</f>
        <v>18</v>
      </c>
      <c r="K1331" s="18" t="s">
        <v>2023</v>
      </c>
      <c r="L1331" s="19" t="str">
        <f t="shared" si="41"/>
        <v>Regular Customer</v>
      </c>
    </row>
    <row r="1332" spans="1:12" ht="15.75" customHeight="1" x14ac:dyDescent="0.3">
      <c r="A1332" s="7">
        <v>45641</v>
      </c>
      <c r="B1332" s="8" t="s">
        <v>1275</v>
      </c>
      <c r="C1332" s="8" t="s">
        <v>13</v>
      </c>
      <c r="D1332" s="8" t="s">
        <v>16</v>
      </c>
      <c r="E1332" s="9">
        <v>21.45</v>
      </c>
      <c r="F1332" s="8" t="s">
        <v>10</v>
      </c>
      <c r="G1332" s="8">
        <v>42.9</v>
      </c>
      <c r="H1332" s="10">
        <f t="shared" si="40"/>
        <v>12</v>
      </c>
      <c r="I1332" s="10">
        <f>YEAR(Sheet1!$A1332)</f>
        <v>2024</v>
      </c>
      <c r="J1332" s="10">
        <f>DAY(Sheet1!$A1332)</f>
        <v>15</v>
      </c>
      <c r="K1332" s="12" t="s">
        <v>2023</v>
      </c>
      <c r="L1332" s="13" t="str">
        <f t="shared" si="41"/>
        <v>Regular Customer</v>
      </c>
    </row>
    <row r="1333" spans="1:12" ht="15.75" customHeight="1" x14ac:dyDescent="0.3">
      <c r="A1333" s="14">
        <v>45714</v>
      </c>
      <c r="B1333" s="15" t="s">
        <v>835</v>
      </c>
      <c r="C1333" s="15" t="s">
        <v>8</v>
      </c>
      <c r="D1333" s="15" t="s">
        <v>14</v>
      </c>
      <c r="E1333" s="16">
        <v>21.45</v>
      </c>
      <c r="F1333" s="15" t="s">
        <v>11</v>
      </c>
      <c r="G1333" s="15">
        <v>42.9</v>
      </c>
      <c r="H1333" s="17">
        <f t="shared" si="40"/>
        <v>2</v>
      </c>
      <c r="I1333" s="17">
        <f>YEAR(Sheet1!$A1333)</f>
        <v>2025</v>
      </c>
      <c r="J1333" s="17">
        <f>DAY(Sheet1!$A1333)</f>
        <v>26</v>
      </c>
      <c r="K1333" s="18" t="s">
        <v>2023</v>
      </c>
      <c r="L1333" s="19" t="str">
        <f t="shared" si="41"/>
        <v>Regular Customer</v>
      </c>
    </row>
    <row r="1334" spans="1:12" ht="15.75" customHeight="1" x14ac:dyDescent="0.3">
      <c r="A1334" s="7">
        <v>45691</v>
      </c>
      <c r="B1334" s="8" t="s">
        <v>1078</v>
      </c>
      <c r="C1334" s="8" t="s">
        <v>8</v>
      </c>
      <c r="D1334" s="8" t="s">
        <v>14</v>
      </c>
      <c r="E1334" s="9">
        <v>14.31</v>
      </c>
      <c r="F1334" s="8" t="s">
        <v>11</v>
      </c>
      <c r="G1334" s="8">
        <v>42.93</v>
      </c>
      <c r="H1334" s="10">
        <f t="shared" si="40"/>
        <v>2</v>
      </c>
      <c r="I1334" s="10">
        <f>YEAR(Sheet1!$A1334)</f>
        <v>2025</v>
      </c>
      <c r="J1334" s="10">
        <f>DAY(Sheet1!$A1334)</f>
        <v>3</v>
      </c>
      <c r="K1334" s="12" t="s">
        <v>2023</v>
      </c>
      <c r="L1334" s="13" t="str">
        <f t="shared" si="41"/>
        <v>Regular Customer</v>
      </c>
    </row>
    <row r="1335" spans="1:12" ht="15.75" customHeight="1" x14ac:dyDescent="0.3">
      <c r="A1335" s="14">
        <v>45686</v>
      </c>
      <c r="B1335" s="15" t="s">
        <v>1407</v>
      </c>
      <c r="C1335" s="15" t="s">
        <v>8</v>
      </c>
      <c r="D1335" s="15" t="s">
        <v>14</v>
      </c>
      <c r="E1335" s="16">
        <v>21.47</v>
      </c>
      <c r="F1335" s="15" t="s">
        <v>10</v>
      </c>
      <c r="G1335" s="15">
        <v>42.94</v>
      </c>
      <c r="H1335" s="17">
        <f t="shared" si="40"/>
        <v>1</v>
      </c>
      <c r="I1335" s="17">
        <f>YEAR(Sheet1!$A1335)</f>
        <v>2025</v>
      </c>
      <c r="J1335" s="17">
        <f>DAY(Sheet1!$A1335)</f>
        <v>29</v>
      </c>
      <c r="K1335" s="18" t="s">
        <v>2022</v>
      </c>
      <c r="L1335" s="19" t="str">
        <f t="shared" si="41"/>
        <v>Regular Customer</v>
      </c>
    </row>
    <row r="1336" spans="1:12" ht="15.75" customHeight="1" x14ac:dyDescent="0.3">
      <c r="A1336" s="7">
        <v>45433</v>
      </c>
      <c r="B1336" s="8" t="s">
        <v>1954</v>
      </c>
      <c r="C1336" s="8" t="s">
        <v>24</v>
      </c>
      <c r="D1336" s="8" t="s">
        <v>19</v>
      </c>
      <c r="E1336" s="9">
        <v>21.5</v>
      </c>
      <c r="F1336" s="8" t="s">
        <v>11</v>
      </c>
      <c r="G1336" s="8">
        <v>43</v>
      </c>
      <c r="H1336" s="10">
        <f t="shared" si="40"/>
        <v>5</v>
      </c>
      <c r="I1336" s="10">
        <f>YEAR(Sheet1!$A1336)</f>
        <v>2024</v>
      </c>
      <c r="J1336" s="10">
        <f>DAY(Sheet1!$A1336)</f>
        <v>21</v>
      </c>
      <c r="K1336" s="12" t="s">
        <v>2023</v>
      </c>
      <c r="L1336" s="13" t="str">
        <f t="shared" si="41"/>
        <v>Regular Customer</v>
      </c>
    </row>
    <row r="1337" spans="1:12" ht="15.75" customHeight="1" x14ac:dyDescent="0.3">
      <c r="A1337" s="14">
        <v>45700</v>
      </c>
      <c r="B1337" s="15" t="s">
        <v>1656</v>
      </c>
      <c r="C1337" s="15" t="s">
        <v>13</v>
      </c>
      <c r="D1337" s="15" t="s">
        <v>9</v>
      </c>
      <c r="E1337" s="16">
        <v>21.5</v>
      </c>
      <c r="F1337" s="15" t="s">
        <v>11</v>
      </c>
      <c r="G1337" s="15">
        <v>43</v>
      </c>
      <c r="H1337" s="17">
        <f t="shared" si="40"/>
        <v>2</v>
      </c>
      <c r="I1337" s="17">
        <f>YEAR(Sheet1!$A1337)</f>
        <v>2025</v>
      </c>
      <c r="J1337" s="17">
        <f>DAY(Sheet1!$A1337)</f>
        <v>12</v>
      </c>
      <c r="K1337" s="18" t="s">
        <v>2022</v>
      </c>
      <c r="L1337" s="19" t="str">
        <f t="shared" si="41"/>
        <v>Regular Customer</v>
      </c>
    </row>
    <row r="1338" spans="1:12" ht="15.75" customHeight="1" x14ac:dyDescent="0.3">
      <c r="A1338" s="7">
        <v>45550</v>
      </c>
      <c r="B1338" s="8" t="s">
        <v>307</v>
      </c>
      <c r="C1338" s="8" t="s">
        <v>18</v>
      </c>
      <c r="D1338" s="8" t="s">
        <v>16</v>
      </c>
      <c r="E1338" s="9">
        <v>21.52</v>
      </c>
      <c r="F1338" s="8" t="s">
        <v>11</v>
      </c>
      <c r="G1338" s="8">
        <v>43.04</v>
      </c>
      <c r="H1338" s="10">
        <f t="shared" si="40"/>
        <v>9</v>
      </c>
      <c r="I1338" s="10">
        <f>YEAR(Sheet1!$A1338)</f>
        <v>2024</v>
      </c>
      <c r="J1338" s="10">
        <f>DAY(Sheet1!$A1338)</f>
        <v>15</v>
      </c>
      <c r="K1338" s="12" t="s">
        <v>2023</v>
      </c>
      <c r="L1338" s="13" t="str">
        <f t="shared" si="41"/>
        <v>Regular Customer</v>
      </c>
    </row>
    <row r="1339" spans="1:12" ht="15.75" customHeight="1" x14ac:dyDescent="0.3">
      <c r="A1339" s="14">
        <v>45760</v>
      </c>
      <c r="B1339" s="15" t="s">
        <v>1397</v>
      </c>
      <c r="C1339" s="15" t="s">
        <v>8</v>
      </c>
      <c r="D1339" s="15" t="s">
        <v>14</v>
      </c>
      <c r="E1339" s="16">
        <v>21.52</v>
      </c>
      <c r="F1339" s="15" t="s">
        <v>10</v>
      </c>
      <c r="G1339" s="15">
        <v>43.04</v>
      </c>
      <c r="H1339" s="17">
        <f t="shared" si="40"/>
        <v>4</v>
      </c>
      <c r="I1339" s="17">
        <f>YEAR(Sheet1!$A1339)</f>
        <v>2025</v>
      </c>
      <c r="J1339" s="17">
        <f>DAY(Sheet1!$A1339)</f>
        <v>13</v>
      </c>
      <c r="K1339" s="18" t="s">
        <v>2022</v>
      </c>
      <c r="L1339" s="19" t="str">
        <f t="shared" si="41"/>
        <v>Regular Customer</v>
      </c>
    </row>
    <row r="1340" spans="1:12" ht="15.75" customHeight="1" x14ac:dyDescent="0.3">
      <c r="A1340" s="7">
        <v>45690</v>
      </c>
      <c r="B1340" s="8" t="s">
        <v>1822</v>
      </c>
      <c r="C1340" s="8" t="s">
        <v>24</v>
      </c>
      <c r="D1340" s="8" t="s">
        <v>16</v>
      </c>
      <c r="E1340" s="9">
        <v>21.54</v>
      </c>
      <c r="F1340" s="8" t="s">
        <v>10</v>
      </c>
      <c r="G1340" s="8">
        <v>43.08</v>
      </c>
      <c r="H1340" s="10">
        <f t="shared" si="40"/>
        <v>2</v>
      </c>
      <c r="I1340" s="10">
        <f>YEAR(Sheet1!$A1340)</f>
        <v>2025</v>
      </c>
      <c r="J1340" s="10">
        <f>DAY(Sheet1!$A1340)</f>
        <v>2</v>
      </c>
      <c r="K1340" s="12" t="s">
        <v>2022</v>
      </c>
      <c r="L1340" s="13" t="str">
        <f t="shared" si="41"/>
        <v>Regular Customer</v>
      </c>
    </row>
    <row r="1341" spans="1:12" ht="15.75" customHeight="1" x14ac:dyDescent="0.3">
      <c r="A1341" s="14">
        <v>45537</v>
      </c>
      <c r="B1341" s="15" t="s">
        <v>1052</v>
      </c>
      <c r="C1341" s="15" t="s">
        <v>18</v>
      </c>
      <c r="D1341" s="15" t="s">
        <v>19</v>
      </c>
      <c r="E1341" s="16">
        <v>21.6</v>
      </c>
      <c r="F1341" s="15" t="s">
        <v>10</v>
      </c>
      <c r="G1341" s="15">
        <v>43.2</v>
      </c>
      <c r="H1341" s="17">
        <f t="shared" si="40"/>
        <v>9</v>
      </c>
      <c r="I1341" s="17">
        <f>YEAR(Sheet1!$A1341)</f>
        <v>2024</v>
      </c>
      <c r="J1341" s="17">
        <f>DAY(Sheet1!$A1341)</f>
        <v>2</v>
      </c>
      <c r="K1341" s="18" t="s">
        <v>2022</v>
      </c>
      <c r="L1341" s="19" t="str">
        <f t="shared" si="41"/>
        <v>Regular Customer</v>
      </c>
    </row>
    <row r="1342" spans="1:12" ht="15.75" customHeight="1" x14ac:dyDescent="0.3">
      <c r="A1342" s="7">
        <v>45460</v>
      </c>
      <c r="B1342" s="8" t="s">
        <v>977</v>
      </c>
      <c r="C1342" s="8" t="s">
        <v>8</v>
      </c>
      <c r="D1342" s="8" t="s">
        <v>19</v>
      </c>
      <c r="E1342" s="9">
        <v>21.66</v>
      </c>
      <c r="F1342" s="8" t="s">
        <v>11</v>
      </c>
      <c r="G1342" s="8">
        <v>43.32</v>
      </c>
      <c r="H1342" s="10">
        <f t="shared" si="40"/>
        <v>6</v>
      </c>
      <c r="I1342" s="10">
        <f>YEAR(Sheet1!$A1342)</f>
        <v>2024</v>
      </c>
      <c r="J1342" s="10">
        <f>DAY(Sheet1!$A1342)</f>
        <v>17</v>
      </c>
      <c r="K1342" s="12" t="s">
        <v>2022</v>
      </c>
      <c r="L1342" s="13" t="str">
        <f t="shared" si="41"/>
        <v>Regular Customer</v>
      </c>
    </row>
    <row r="1343" spans="1:12" ht="15.75" customHeight="1" x14ac:dyDescent="0.3">
      <c r="A1343" s="14">
        <v>45729</v>
      </c>
      <c r="B1343" s="15" t="s">
        <v>1442</v>
      </c>
      <c r="C1343" s="15" t="s">
        <v>8</v>
      </c>
      <c r="D1343" s="15" t="s">
        <v>19</v>
      </c>
      <c r="E1343" s="16">
        <v>14.45</v>
      </c>
      <c r="F1343" s="15" t="s">
        <v>11</v>
      </c>
      <c r="G1343" s="15">
        <v>43.35</v>
      </c>
      <c r="H1343" s="17">
        <f t="shared" si="40"/>
        <v>3</v>
      </c>
      <c r="I1343" s="17">
        <f>YEAR(Sheet1!$A1343)</f>
        <v>2025</v>
      </c>
      <c r="J1343" s="17">
        <f>DAY(Sheet1!$A1343)</f>
        <v>13</v>
      </c>
      <c r="K1343" s="18" t="s">
        <v>2023</v>
      </c>
      <c r="L1343" s="19" t="str">
        <f t="shared" si="41"/>
        <v>Regular Customer</v>
      </c>
    </row>
    <row r="1344" spans="1:12" ht="15.75" customHeight="1" x14ac:dyDescent="0.3">
      <c r="A1344" s="7">
        <v>45653</v>
      </c>
      <c r="B1344" s="8" t="s">
        <v>1942</v>
      </c>
      <c r="C1344" s="8" t="s">
        <v>13</v>
      </c>
      <c r="D1344" s="8" t="s">
        <v>14</v>
      </c>
      <c r="E1344" s="9">
        <v>14.46</v>
      </c>
      <c r="F1344" s="8" t="s">
        <v>10</v>
      </c>
      <c r="G1344" s="8">
        <v>43.38</v>
      </c>
      <c r="H1344" s="10">
        <f t="shared" si="40"/>
        <v>12</v>
      </c>
      <c r="I1344" s="10">
        <f>YEAR(Sheet1!$A1344)</f>
        <v>2024</v>
      </c>
      <c r="J1344" s="10">
        <f>DAY(Sheet1!$A1344)</f>
        <v>27</v>
      </c>
      <c r="K1344" s="12" t="s">
        <v>2023</v>
      </c>
      <c r="L1344" s="13" t="str">
        <f t="shared" si="41"/>
        <v>Regular Customer</v>
      </c>
    </row>
    <row r="1345" spans="1:12" ht="15.75" customHeight="1" x14ac:dyDescent="0.3">
      <c r="A1345" s="14">
        <v>45671</v>
      </c>
      <c r="B1345" s="15" t="s">
        <v>602</v>
      </c>
      <c r="C1345" s="15" t="s">
        <v>24</v>
      </c>
      <c r="D1345" s="15" t="s">
        <v>19</v>
      </c>
      <c r="E1345" s="16">
        <v>14.48</v>
      </c>
      <c r="F1345" s="15" t="s">
        <v>11</v>
      </c>
      <c r="G1345" s="15">
        <v>43.44</v>
      </c>
      <c r="H1345" s="17">
        <f t="shared" si="40"/>
        <v>1</v>
      </c>
      <c r="I1345" s="17">
        <f>YEAR(Sheet1!$A1345)</f>
        <v>2025</v>
      </c>
      <c r="J1345" s="17">
        <f>DAY(Sheet1!$A1345)</f>
        <v>14</v>
      </c>
      <c r="K1345" s="18" t="s">
        <v>2022</v>
      </c>
      <c r="L1345" s="19" t="str">
        <f t="shared" si="41"/>
        <v>Regular Customer</v>
      </c>
    </row>
    <row r="1346" spans="1:12" ht="15.75" customHeight="1" x14ac:dyDescent="0.3">
      <c r="A1346" s="7">
        <v>45694</v>
      </c>
      <c r="B1346" s="8" t="s">
        <v>1651</v>
      </c>
      <c r="C1346" s="8" t="s">
        <v>18</v>
      </c>
      <c r="D1346" s="8" t="s">
        <v>14</v>
      </c>
      <c r="E1346" s="9">
        <v>14.49</v>
      </c>
      <c r="F1346" s="8" t="s">
        <v>10</v>
      </c>
      <c r="G1346" s="8">
        <v>43.47</v>
      </c>
      <c r="H1346" s="10">
        <f t="shared" ref="H1346:H1409" si="42">MONTH(A1346)</f>
        <v>2</v>
      </c>
      <c r="I1346" s="10">
        <f>YEAR(Sheet1!$A1346)</f>
        <v>2025</v>
      </c>
      <c r="J1346" s="10">
        <f>DAY(Sheet1!$A1346)</f>
        <v>6</v>
      </c>
      <c r="K1346" s="12" t="s">
        <v>2022</v>
      </c>
      <c r="L1346" s="13" t="str">
        <f t="shared" ref="L1346:L1409" si="43">IF(G1346&gt;50,"Premium Customer","Regular Customer")</f>
        <v>Regular Customer</v>
      </c>
    </row>
    <row r="1347" spans="1:12" ht="15.75" customHeight="1" x14ac:dyDescent="0.3">
      <c r="A1347" s="14">
        <v>45600</v>
      </c>
      <c r="B1347" s="15" t="s">
        <v>562</v>
      </c>
      <c r="C1347" s="15" t="s">
        <v>24</v>
      </c>
      <c r="D1347" s="15" t="s">
        <v>9</v>
      </c>
      <c r="E1347" s="16">
        <v>14.5</v>
      </c>
      <c r="F1347" s="15" t="s">
        <v>11</v>
      </c>
      <c r="G1347" s="15">
        <v>43.5</v>
      </c>
      <c r="H1347" s="17">
        <f t="shared" si="42"/>
        <v>11</v>
      </c>
      <c r="I1347" s="17">
        <f>YEAR(Sheet1!$A1347)</f>
        <v>2024</v>
      </c>
      <c r="J1347" s="17">
        <f>DAY(Sheet1!$A1347)</f>
        <v>4</v>
      </c>
      <c r="K1347" s="18" t="s">
        <v>2022</v>
      </c>
      <c r="L1347" s="19" t="str">
        <f t="shared" si="43"/>
        <v>Regular Customer</v>
      </c>
    </row>
    <row r="1348" spans="1:12" ht="15.75" customHeight="1" x14ac:dyDescent="0.3">
      <c r="A1348" s="7">
        <v>45440</v>
      </c>
      <c r="B1348" s="8" t="s">
        <v>1070</v>
      </c>
      <c r="C1348" s="8" t="s">
        <v>13</v>
      </c>
      <c r="D1348" s="8" t="s">
        <v>9</v>
      </c>
      <c r="E1348" s="9">
        <v>21.79</v>
      </c>
      <c r="F1348" s="8" t="s">
        <v>10</v>
      </c>
      <c r="G1348" s="8">
        <v>43.58</v>
      </c>
      <c r="H1348" s="10">
        <f t="shared" si="42"/>
        <v>5</v>
      </c>
      <c r="I1348" s="10">
        <f>YEAR(Sheet1!$A1348)</f>
        <v>2024</v>
      </c>
      <c r="J1348" s="10">
        <f>DAY(Sheet1!$A1348)</f>
        <v>28</v>
      </c>
      <c r="K1348" s="12" t="s">
        <v>2022</v>
      </c>
      <c r="L1348" s="13" t="str">
        <f t="shared" si="43"/>
        <v>Regular Customer</v>
      </c>
    </row>
    <row r="1349" spans="1:12" ht="15.75" customHeight="1" x14ac:dyDescent="0.3">
      <c r="A1349" s="14">
        <v>45458</v>
      </c>
      <c r="B1349" s="15" t="s">
        <v>1261</v>
      </c>
      <c r="C1349" s="15" t="s">
        <v>13</v>
      </c>
      <c r="D1349" s="15" t="s">
        <v>9</v>
      </c>
      <c r="E1349" s="16">
        <v>21.82</v>
      </c>
      <c r="F1349" s="15" t="s">
        <v>11</v>
      </c>
      <c r="G1349" s="15">
        <v>43.64</v>
      </c>
      <c r="H1349" s="17">
        <f t="shared" si="42"/>
        <v>6</v>
      </c>
      <c r="I1349" s="17">
        <f>YEAR(Sheet1!$A1349)</f>
        <v>2024</v>
      </c>
      <c r="J1349" s="17">
        <f>DAY(Sheet1!$A1349)</f>
        <v>15</v>
      </c>
      <c r="K1349" s="18" t="s">
        <v>2022</v>
      </c>
      <c r="L1349" s="19" t="str">
        <f t="shared" si="43"/>
        <v>Regular Customer</v>
      </c>
    </row>
    <row r="1350" spans="1:12" ht="15.75" customHeight="1" x14ac:dyDescent="0.3">
      <c r="A1350" s="7">
        <v>45586</v>
      </c>
      <c r="B1350" s="8" t="s">
        <v>1053</v>
      </c>
      <c r="C1350" s="8" t="s">
        <v>24</v>
      </c>
      <c r="D1350" s="8" t="s">
        <v>14</v>
      </c>
      <c r="E1350" s="9">
        <v>21.83</v>
      </c>
      <c r="F1350" s="8" t="s">
        <v>10</v>
      </c>
      <c r="G1350" s="8">
        <v>43.66</v>
      </c>
      <c r="H1350" s="10">
        <f t="shared" si="42"/>
        <v>10</v>
      </c>
      <c r="I1350" s="10">
        <f>YEAR(Sheet1!$A1350)</f>
        <v>2024</v>
      </c>
      <c r="J1350" s="10">
        <f>DAY(Sheet1!$A1350)</f>
        <v>21</v>
      </c>
      <c r="K1350" s="12" t="s">
        <v>2023</v>
      </c>
      <c r="L1350" s="13" t="str">
        <f t="shared" si="43"/>
        <v>Regular Customer</v>
      </c>
    </row>
    <row r="1351" spans="1:12" ht="15.75" customHeight="1" x14ac:dyDescent="0.3">
      <c r="A1351" s="14">
        <v>45451</v>
      </c>
      <c r="B1351" s="15" t="s">
        <v>1318</v>
      </c>
      <c r="C1351" s="15" t="s">
        <v>24</v>
      </c>
      <c r="D1351" s="15" t="s">
        <v>16</v>
      </c>
      <c r="E1351" s="16">
        <v>21.9</v>
      </c>
      <c r="F1351" s="15" t="s">
        <v>11</v>
      </c>
      <c r="G1351" s="15">
        <v>43.8</v>
      </c>
      <c r="H1351" s="17">
        <f t="shared" si="42"/>
        <v>6</v>
      </c>
      <c r="I1351" s="17">
        <f>YEAR(Sheet1!$A1351)</f>
        <v>2024</v>
      </c>
      <c r="J1351" s="17">
        <f>DAY(Sheet1!$A1351)</f>
        <v>8</v>
      </c>
      <c r="K1351" s="18" t="s">
        <v>2022</v>
      </c>
      <c r="L1351" s="19" t="str">
        <f t="shared" si="43"/>
        <v>Regular Customer</v>
      </c>
    </row>
    <row r="1352" spans="1:12" ht="15.75" customHeight="1" x14ac:dyDescent="0.3">
      <c r="A1352" s="7">
        <v>45753</v>
      </c>
      <c r="B1352" s="8" t="s">
        <v>372</v>
      </c>
      <c r="C1352" s="8" t="s">
        <v>8</v>
      </c>
      <c r="D1352" s="8" t="s">
        <v>14</v>
      </c>
      <c r="E1352" s="9">
        <v>21.91</v>
      </c>
      <c r="F1352" s="8" t="s">
        <v>10</v>
      </c>
      <c r="G1352" s="8">
        <v>43.82</v>
      </c>
      <c r="H1352" s="10">
        <f t="shared" si="42"/>
        <v>4</v>
      </c>
      <c r="I1352" s="10">
        <f>YEAR(Sheet1!$A1352)</f>
        <v>2025</v>
      </c>
      <c r="J1352" s="10">
        <f>DAY(Sheet1!$A1352)</f>
        <v>6</v>
      </c>
      <c r="K1352" s="12" t="s">
        <v>2022</v>
      </c>
      <c r="L1352" s="13" t="str">
        <f t="shared" si="43"/>
        <v>Regular Customer</v>
      </c>
    </row>
    <row r="1353" spans="1:12" ht="15.75" customHeight="1" x14ac:dyDescent="0.3">
      <c r="A1353" s="14">
        <v>45422</v>
      </c>
      <c r="B1353" s="15" t="s">
        <v>1675</v>
      </c>
      <c r="C1353" s="15" t="s">
        <v>8</v>
      </c>
      <c r="D1353" s="15" t="s">
        <v>14</v>
      </c>
      <c r="E1353" s="16">
        <v>14.61</v>
      </c>
      <c r="F1353" s="15" t="s">
        <v>10</v>
      </c>
      <c r="G1353" s="15">
        <v>43.83</v>
      </c>
      <c r="H1353" s="17">
        <f t="shared" si="42"/>
        <v>5</v>
      </c>
      <c r="I1353" s="17">
        <f>YEAR(Sheet1!$A1353)</f>
        <v>2024</v>
      </c>
      <c r="J1353" s="17">
        <f>DAY(Sheet1!$A1353)</f>
        <v>10</v>
      </c>
      <c r="K1353" s="18" t="s">
        <v>2023</v>
      </c>
      <c r="L1353" s="19" t="str">
        <f t="shared" si="43"/>
        <v>Regular Customer</v>
      </c>
    </row>
    <row r="1354" spans="1:12" ht="15.75" customHeight="1" x14ac:dyDescent="0.3">
      <c r="A1354" s="7">
        <v>45709</v>
      </c>
      <c r="B1354" s="8" t="s">
        <v>178</v>
      </c>
      <c r="C1354" s="8" t="s">
        <v>24</v>
      </c>
      <c r="D1354" s="8" t="s">
        <v>14</v>
      </c>
      <c r="E1354" s="9">
        <v>21.93</v>
      </c>
      <c r="F1354" s="8" t="s">
        <v>11</v>
      </c>
      <c r="G1354" s="8">
        <v>43.86</v>
      </c>
      <c r="H1354" s="10">
        <f t="shared" si="42"/>
        <v>2</v>
      </c>
      <c r="I1354" s="10">
        <f>YEAR(Sheet1!$A1354)</f>
        <v>2025</v>
      </c>
      <c r="J1354" s="10">
        <f>DAY(Sheet1!$A1354)</f>
        <v>21</v>
      </c>
      <c r="K1354" s="12" t="s">
        <v>2023</v>
      </c>
      <c r="L1354" s="13" t="str">
        <f t="shared" si="43"/>
        <v>Regular Customer</v>
      </c>
    </row>
    <row r="1355" spans="1:12" ht="15.75" customHeight="1" x14ac:dyDescent="0.3">
      <c r="A1355" s="14">
        <v>45601</v>
      </c>
      <c r="B1355" s="15" t="s">
        <v>1993</v>
      </c>
      <c r="C1355" s="15" t="s">
        <v>24</v>
      </c>
      <c r="D1355" s="15" t="s">
        <v>19</v>
      </c>
      <c r="E1355" s="16">
        <v>14.65</v>
      </c>
      <c r="F1355" s="15" t="s">
        <v>11</v>
      </c>
      <c r="G1355" s="15">
        <v>43.95</v>
      </c>
      <c r="H1355" s="17">
        <f t="shared" si="42"/>
        <v>11</v>
      </c>
      <c r="I1355" s="17">
        <f>YEAR(Sheet1!$A1355)</f>
        <v>2024</v>
      </c>
      <c r="J1355" s="17">
        <f>DAY(Sheet1!$A1355)</f>
        <v>5</v>
      </c>
      <c r="K1355" s="18" t="s">
        <v>2023</v>
      </c>
      <c r="L1355" s="19" t="str">
        <f t="shared" si="43"/>
        <v>Regular Customer</v>
      </c>
    </row>
    <row r="1356" spans="1:12" ht="15.75" customHeight="1" x14ac:dyDescent="0.3">
      <c r="A1356" s="7">
        <v>45420</v>
      </c>
      <c r="B1356" s="8" t="s">
        <v>1896</v>
      </c>
      <c r="C1356" s="8" t="s">
        <v>18</v>
      </c>
      <c r="D1356" s="8" t="s">
        <v>16</v>
      </c>
      <c r="E1356" s="9">
        <v>14.66</v>
      </c>
      <c r="F1356" s="8" t="s">
        <v>10</v>
      </c>
      <c r="G1356" s="8">
        <v>43.98</v>
      </c>
      <c r="H1356" s="10">
        <f t="shared" si="42"/>
        <v>5</v>
      </c>
      <c r="I1356" s="10">
        <f>YEAR(Sheet1!$A1356)</f>
        <v>2024</v>
      </c>
      <c r="J1356" s="10">
        <f>DAY(Sheet1!$A1356)</f>
        <v>8</v>
      </c>
      <c r="K1356" s="12" t="s">
        <v>2022</v>
      </c>
      <c r="L1356" s="13" t="str">
        <f t="shared" si="43"/>
        <v>Regular Customer</v>
      </c>
    </row>
    <row r="1357" spans="1:12" ht="15.75" customHeight="1" x14ac:dyDescent="0.3">
      <c r="A1357" s="14">
        <v>45695</v>
      </c>
      <c r="B1357" s="15" t="s">
        <v>886</v>
      </c>
      <c r="C1357" s="15" t="s">
        <v>13</v>
      </c>
      <c r="D1357" s="15" t="s">
        <v>14</v>
      </c>
      <c r="E1357" s="16">
        <v>14.66</v>
      </c>
      <c r="F1357" s="15" t="s">
        <v>10</v>
      </c>
      <c r="G1357" s="15">
        <v>43.98</v>
      </c>
      <c r="H1357" s="17">
        <f t="shared" si="42"/>
        <v>2</v>
      </c>
      <c r="I1357" s="17">
        <f>YEAR(Sheet1!$A1357)</f>
        <v>2025</v>
      </c>
      <c r="J1357" s="17">
        <f>DAY(Sheet1!$A1357)</f>
        <v>7</v>
      </c>
      <c r="K1357" s="18" t="s">
        <v>2022</v>
      </c>
      <c r="L1357" s="19" t="str">
        <f t="shared" si="43"/>
        <v>Regular Customer</v>
      </c>
    </row>
    <row r="1358" spans="1:12" ht="15.75" customHeight="1" x14ac:dyDescent="0.3">
      <c r="A1358" s="7">
        <v>45416</v>
      </c>
      <c r="B1358" s="8" t="s">
        <v>1278</v>
      </c>
      <c r="C1358" s="8" t="s">
        <v>8</v>
      </c>
      <c r="D1358" s="8" t="s">
        <v>14</v>
      </c>
      <c r="E1358" s="9">
        <v>22.03</v>
      </c>
      <c r="F1358" s="8" t="s">
        <v>11</v>
      </c>
      <c r="G1358" s="8">
        <v>44.06</v>
      </c>
      <c r="H1358" s="10">
        <f t="shared" si="42"/>
        <v>5</v>
      </c>
      <c r="I1358" s="10">
        <f>YEAR(Sheet1!$A1358)</f>
        <v>2024</v>
      </c>
      <c r="J1358" s="10">
        <f>DAY(Sheet1!$A1358)</f>
        <v>4</v>
      </c>
      <c r="K1358" s="12" t="s">
        <v>2023</v>
      </c>
      <c r="L1358" s="13" t="str">
        <f t="shared" si="43"/>
        <v>Regular Customer</v>
      </c>
    </row>
    <row r="1359" spans="1:12" ht="15.75" customHeight="1" x14ac:dyDescent="0.3">
      <c r="A1359" s="14">
        <v>45731</v>
      </c>
      <c r="B1359" s="15" t="s">
        <v>1637</v>
      </c>
      <c r="C1359" s="15" t="s">
        <v>8</v>
      </c>
      <c r="D1359" s="15" t="s">
        <v>19</v>
      </c>
      <c r="E1359" s="16">
        <v>22.03</v>
      </c>
      <c r="F1359" s="15" t="s">
        <v>11</v>
      </c>
      <c r="G1359" s="15">
        <v>44.06</v>
      </c>
      <c r="H1359" s="17">
        <f t="shared" si="42"/>
        <v>3</v>
      </c>
      <c r="I1359" s="17">
        <f>YEAR(Sheet1!$A1359)</f>
        <v>2025</v>
      </c>
      <c r="J1359" s="17">
        <f>DAY(Sheet1!$A1359)</f>
        <v>15</v>
      </c>
      <c r="K1359" s="18" t="s">
        <v>2022</v>
      </c>
      <c r="L1359" s="19" t="str">
        <f t="shared" si="43"/>
        <v>Regular Customer</v>
      </c>
    </row>
    <row r="1360" spans="1:12" ht="15.75" customHeight="1" x14ac:dyDescent="0.3">
      <c r="A1360" s="7">
        <v>45553</v>
      </c>
      <c r="B1360" s="8" t="s">
        <v>230</v>
      </c>
      <c r="C1360" s="8" t="s">
        <v>8</v>
      </c>
      <c r="D1360" s="8" t="s">
        <v>9</v>
      </c>
      <c r="E1360" s="9">
        <v>22.05</v>
      </c>
      <c r="F1360" s="8" t="s">
        <v>11</v>
      </c>
      <c r="G1360" s="8">
        <v>44.1</v>
      </c>
      <c r="H1360" s="10">
        <f t="shared" si="42"/>
        <v>9</v>
      </c>
      <c r="I1360" s="10">
        <f>YEAR(Sheet1!$A1360)</f>
        <v>2024</v>
      </c>
      <c r="J1360" s="10">
        <f>DAY(Sheet1!$A1360)</f>
        <v>18</v>
      </c>
      <c r="K1360" s="12" t="s">
        <v>2022</v>
      </c>
      <c r="L1360" s="13" t="str">
        <f t="shared" si="43"/>
        <v>Regular Customer</v>
      </c>
    </row>
    <row r="1361" spans="1:12" ht="15.75" customHeight="1" x14ac:dyDescent="0.3">
      <c r="A1361" s="14">
        <v>45575</v>
      </c>
      <c r="B1361" s="15" t="s">
        <v>1754</v>
      </c>
      <c r="C1361" s="15" t="s">
        <v>24</v>
      </c>
      <c r="D1361" s="15" t="s">
        <v>16</v>
      </c>
      <c r="E1361" s="16">
        <v>14.7</v>
      </c>
      <c r="F1361" s="15" t="s">
        <v>11</v>
      </c>
      <c r="G1361" s="15">
        <v>44.1</v>
      </c>
      <c r="H1361" s="17">
        <f t="shared" si="42"/>
        <v>10</v>
      </c>
      <c r="I1361" s="17">
        <f>YEAR(Sheet1!$A1361)</f>
        <v>2024</v>
      </c>
      <c r="J1361" s="17">
        <f>DAY(Sheet1!$A1361)</f>
        <v>10</v>
      </c>
      <c r="K1361" s="18" t="s">
        <v>2023</v>
      </c>
      <c r="L1361" s="19" t="str">
        <f t="shared" si="43"/>
        <v>Regular Customer</v>
      </c>
    </row>
    <row r="1362" spans="1:12" ht="15.75" customHeight="1" x14ac:dyDescent="0.3">
      <c r="A1362" s="7">
        <v>45522</v>
      </c>
      <c r="B1362" s="8" t="s">
        <v>1853</v>
      </c>
      <c r="C1362" s="8" t="s">
        <v>18</v>
      </c>
      <c r="D1362" s="8" t="s">
        <v>14</v>
      </c>
      <c r="E1362" s="9">
        <v>22.06</v>
      </c>
      <c r="F1362" s="8" t="s">
        <v>10</v>
      </c>
      <c r="G1362" s="8">
        <v>44.12</v>
      </c>
      <c r="H1362" s="10">
        <f t="shared" si="42"/>
        <v>8</v>
      </c>
      <c r="I1362" s="10">
        <f>YEAR(Sheet1!$A1362)</f>
        <v>2024</v>
      </c>
      <c r="J1362" s="10">
        <f>DAY(Sheet1!$A1362)</f>
        <v>18</v>
      </c>
      <c r="K1362" s="12" t="s">
        <v>2023</v>
      </c>
      <c r="L1362" s="13" t="str">
        <f t="shared" si="43"/>
        <v>Regular Customer</v>
      </c>
    </row>
    <row r="1363" spans="1:12" ht="15.75" customHeight="1" x14ac:dyDescent="0.3">
      <c r="A1363" s="14">
        <v>45514</v>
      </c>
      <c r="B1363" s="15" t="s">
        <v>2010</v>
      </c>
      <c r="C1363" s="15" t="s">
        <v>13</v>
      </c>
      <c r="D1363" s="15" t="s">
        <v>16</v>
      </c>
      <c r="E1363" s="16">
        <v>22.07</v>
      </c>
      <c r="F1363" s="15" t="s">
        <v>10</v>
      </c>
      <c r="G1363" s="15">
        <v>44.14</v>
      </c>
      <c r="H1363" s="17">
        <f t="shared" si="42"/>
        <v>8</v>
      </c>
      <c r="I1363" s="17">
        <f>YEAR(Sheet1!$A1363)</f>
        <v>2024</v>
      </c>
      <c r="J1363" s="17">
        <f>DAY(Sheet1!$A1363)</f>
        <v>10</v>
      </c>
      <c r="K1363" s="18" t="s">
        <v>2022</v>
      </c>
      <c r="L1363" s="19" t="str">
        <f t="shared" si="43"/>
        <v>Regular Customer</v>
      </c>
    </row>
    <row r="1364" spans="1:12" ht="15.75" customHeight="1" x14ac:dyDescent="0.3">
      <c r="A1364" s="7">
        <v>45707</v>
      </c>
      <c r="B1364" s="8" t="s">
        <v>198</v>
      </c>
      <c r="C1364" s="8" t="s">
        <v>13</v>
      </c>
      <c r="D1364" s="8" t="s">
        <v>9</v>
      </c>
      <c r="E1364" s="9">
        <v>22.12</v>
      </c>
      <c r="F1364" s="8" t="s">
        <v>11</v>
      </c>
      <c r="G1364" s="8">
        <v>44.24</v>
      </c>
      <c r="H1364" s="10">
        <f t="shared" si="42"/>
        <v>2</v>
      </c>
      <c r="I1364" s="10">
        <f>YEAR(Sheet1!$A1364)</f>
        <v>2025</v>
      </c>
      <c r="J1364" s="10">
        <f>DAY(Sheet1!$A1364)</f>
        <v>19</v>
      </c>
      <c r="K1364" s="12" t="s">
        <v>2022</v>
      </c>
      <c r="L1364" s="13" t="str">
        <f t="shared" si="43"/>
        <v>Regular Customer</v>
      </c>
    </row>
    <row r="1365" spans="1:12" ht="15.75" customHeight="1" x14ac:dyDescent="0.3">
      <c r="A1365" s="14">
        <v>45651</v>
      </c>
      <c r="B1365" s="15" t="s">
        <v>1099</v>
      </c>
      <c r="C1365" s="15" t="s">
        <v>24</v>
      </c>
      <c r="D1365" s="15" t="s">
        <v>19</v>
      </c>
      <c r="E1365" s="16">
        <v>22.14</v>
      </c>
      <c r="F1365" s="15" t="s">
        <v>11</v>
      </c>
      <c r="G1365" s="15">
        <v>44.28</v>
      </c>
      <c r="H1365" s="17">
        <f t="shared" si="42"/>
        <v>12</v>
      </c>
      <c r="I1365" s="17">
        <f>YEAR(Sheet1!$A1365)</f>
        <v>2024</v>
      </c>
      <c r="J1365" s="17">
        <f>DAY(Sheet1!$A1365)</f>
        <v>25</v>
      </c>
      <c r="K1365" s="18" t="s">
        <v>2023</v>
      </c>
      <c r="L1365" s="19" t="str">
        <f t="shared" si="43"/>
        <v>Regular Customer</v>
      </c>
    </row>
    <row r="1366" spans="1:12" ht="15.75" customHeight="1" x14ac:dyDescent="0.3">
      <c r="A1366" s="7">
        <v>45676</v>
      </c>
      <c r="B1366" s="8" t="s">
        <v>655</v>
      </c>
      <c r="C1366" s="8" t="s">
        <v>13</v>
      </c>
      <c r="D1366" s="8" t="s">
        <v>19</v>
      </c>
      <c r="E1366" s="9">
        <v>14.87</v>
      </c>
      <c r="F1366" s="8" t="s">
        <v>10</v>
      </c>
      <c r="G1366" s="8">
        <v>44.61</v>
      </c>
      <c r="H1366" s="10">
        <f t="shared" si="42"/>
        <v>1</v>
      </c>
      <c r="I1366" s="10">
        <f>YEAR(Sheet1!$A1366)</f>
        <v>2025</v>
      </c>
      <c r="J1366" s="10">
        <f>DAY(Sheet1!$A1366)</f>
        <v>19</v>
      </c>
      <c r="K1366" s="12" t="s">
        <v>2022</v>
      </c>
      <c r="L1366" s="13" t="str">
        <f t="shared" si="43"/>
        <v>Regular Customer</v>
      </c>
    </row>
    <row r="1367" spans="1:12" ht="15.75" customHeight="1" x14ac:dyDescent="0.3">
      <c r="A1367" s="14">
        <v>45610</v>
      </c>
      <c r="B1367" s="15" t="s">
        <v>112</v>
      </c>
      <c r="C1367" s="15" t="s">
        <v>13</v>
      </c>
      <c r="D1367" s="15" t="s">
        <v>19</v>
      </c>
      <c r="E1367" s="16">
        <v>14.88</v>
      </c>
      <c r="F1367" s="15" t="s">
        <v>11</v>
      </c>
      <c r="G1367" s="15">
        <v>44.64</v>
      </c>
      <c r="H1367" s="17">
        <f t="shared" si="42"/>
        <v>11</v>
      </c>
      <c r="I1367" s="17">
        <f>YEAR(Sheet1!$A1367)</f>
        <v>2024</v>
      </c>
      <c r="J1367" s="17">
        <f>DAY(Sheet1!$A1367)</f>
        <v>14</v>
      </c>
      <c r="K1367" s="18" t="s">
        <v>2022</v>
      </c>
      <c r="L1367" s="19" t="str">
        <f t="shared" si="43"/>
        <v>Regular Customer</v>
      </c>
    </row>
    <row r="1368" spans="1:12" ht="15.75" customHeight="1" x14ac:dyDescent="0.3">
      <c r="A1368" s="7">
        <v>45763</v>
      </c>
      <c r="B1368" s="8" t="s">
        <v>1781</v>
      </c>
      <c r="C1368" s="8" t="s">
        <v>13</v>
      </c>
      <c r="D1368" s="8" t="s">
        <v>19</v>
      </c>
      <c r="E1368" s="9">
        <v>14.88</v>
      </c>
      <c r="F1368" s="8" t="s">
        <v>11</v>
      </c>
      <c r="G1368" s="8">
        <v>44.64</v>
      </c>
      <c r="H1368" s="10">
        <f t="shared" si="42"/>
        <v>4</v>
      </c>
      <c r="I1368" s="10">
        <f>YEAR(Sheet1!$A1368)</f>
        <v>2025</v>
      </c>
      <c r="J1368" s="10">
        <f>DAY(Sheet1!$A1368)</f>
        <v>16</v>
      </c>
      <c r="K1368" s="12" t="s">
        <v>2023</v>
      </c>
      <c r="L1368" s="13" t="str">
        <f t="shared" si="43"/>
        <v>Regular Customer</v>
      </c>
    </row>
    <row r="1369" spans="1:12" ht="15.75" customHeight="1" x14ac:dyDescent="0.3">
      <c r="A1369" s="14">
        <v>45439</v>
      </c>
      <c r="B1369" s="15" t="s">
        <v>1332</v>
      </c>
      <c r="C1369" s="15" t="s">
        <v>18</v>
      </c>
      <c r="D1369" s="15" t="s">
        <v>16</v>
      </c>
      <c r="E1369" s="16">
        <v>22.33</v>
      </c>
      <c r="F1369" s="15" t="s">
        <v>11</v>
      </c>
      <c r="G1369" s="15">
        <v>44.66</v>
      </c>
      <c r="H1369" s="17">
        <f t="shared" si="42"/>
        <v>5</v>
      </c>
      <c r="I1369" s="17">
        <f>YEAR(Sheet1!$A1369)</f>
        <v>2024</v>
      </c>
      <c r="J1369" s="17">
        <f>DAY(Sheet1!$A1369)</f>
        <v>27</v>
      </c>
      <c r="K1369" s="18" t="s">
        <v>2023</v>
      </c>
      <c r="L1369" s="19" t="str">
        <f t="shared" si="43"/>
        <v>Regular Customer</v>
      </c>
    </row>
    <row r="1370" spans="1:12" ht="15.75" customHeight="1" x14ac:dyDescent="0.3">
      <c r="A1370" s="7">
        <v>45727</v>
      </c>
      <c r="B1370" s="8" t="s">
        <v>148</v>
      </c>
      <c r="C1370" s="8" t="s">
        <v>18</v>
      </c>
      <c r="D1370" s="8" t="s">
        <v>16</v>
      </c>
      <c r="E1370" s="9">
        <v>22.33</v>
      </c>
      <c r="F1370" s="8" t="s">
        <v>10</v>
      </c>
      <c r="G1370" s="8">
        <v>44.66</v>
      </c>
      <c r="H1370" s="10">
        <f t="shared" si="42"/>
        <v>3</v>
      </c>
      <c r="I1370" s="10">
        <f>YEAR(Sheet1!$A1370)</f>
        <v>2025</v>
      </c>
      <c r="J1370" s="10">
        <f>DAY(Sheet1!$A1370)</f>
        <v>11</v>
      </c>
      <c r="K1370" s="12" t="s">
        <v>2023</v>
      </c>
      <c r="L1370" s="13" t="str">
        <f t="shared" si="43"/>
        <v>Regular Customer</v>
      </c>
    </row>
    <row r="1371" spans="1:12" ht="15.75" customHeight="1" x14ac:dyDescent="0.3">
      <c r="A1371" s="14">
        <v>45743</v>
      </c>
      <c r="B1371" s="15" t="s">
        <v>586</v>
      </c>
      <c r="C1371" s="15" t="s">
        <v>13</v>
      </c>
      <c r="D1371" s="15" t="s">
        <v>14</v>
      </c>
      <c r="E1371" s="16">
        <v>14.94</v>
      </c>
      <c r="F1371" s="15" t="s">
        <v>10</v>
      </c>
      <c r="G1371" s="15">
        <v>44.82</v>
      </c>
      <c r="H1371" s="17">
        <f t="shared" si="42"/>
        <v>3</v>
      </c>
      <c r="I1371" s="17">
        <f>YEAR(Sheet1!$A1371)</f>
        <v>2025</v>
      </c>
      <c r="J1371" s="17">
        <f>DAY(Sheet1!$A1371)</f>
        <v>27</v>
      </c>
      <c r="K1371" s="18" t="s">
        <v>2022</v>
      </c>
      <c r="L1371" s="19" t="str">
        <f t="shared" si="43"/>
        <v>Regular Customer</v>
      </c>
    </row>
    <row r="1372" spans="1:12" ht="15.75" customHeight="1" x14ac:dyDescent="0.3">
      <c r="A1372" s="7">
        <v>45470</v>
      </c>
      <c r="B1372" s="8" t="s">
        <v>1515</v>
      </c>
      <c r="C1372" s="8" t="s">
        <v>13</v>
      </c>
      <c r="D1372" s="8" t="s">
        <v>9</v>
      </c>
      <c r="E1372" s="9">
        <v>22.42</v>
      </c>
      <c r="F1372" s="8" t="s">
        <v>11</v>
      </c>
      <c r="G1372" s="8">
        <v>44.84</v>
      </c>
      <c r="H1372" s="10">
        <f t="shared" si="42"/>
        <v>6</v>
      </c>
      <c r="I1372" s="10">
        <f>YEAR(Sheet1!$A1372)</f>
        <v>2024</v>
      </c>
      <c r="J1372" s="10">
        <f>DAY(Sheet1!$A1372)</f>
        <v>27</v>
      </c>
      <c r="K1372" s="12" t="s">
        <v>2023</v>
      </c>
      <c r="L1372" s="13" t="str">
        <f t="shared" si="43"/>
        <v>Regular Customer</v>
      </c>
    </row>
    <row r="1373" spans="1:12" ht="15.75" customHeight="1" x14ac:dyDescent="0.3">
      <c r="A1373" s="14">
        <v>45668</v>
      </c>
      <c r="B1373" s="15" t="s">
        <v>1300</v>
      </c>
      <c r="C1373" s="15" t="s">
        <v>18</v>
      </c>
      <c r="D1373" s="15" t="s">
        <v>16</v>
      </c>
      <c r="E1373" s="16">
        <v>22.42</v>
      </c>
      <c r="F1373" s="15" t="s">
        <v>10</v>
      </c>
      <c r="G1373" s="15">
        <v>44.84</v>
      </c>
      <c r="H1373" s="17">
        <f t="shared" si="42"/>
        <v>1</v>
      </c>
      <c r="I1373" s="17">
        <f>YEAR(Sheet1!$A1373)</f>
        <v>2025</v>
      </c>
      <c r="J1373" s="17">
        <f>DAY(Sheet1!$A1373)</f>
        <v>11</v>
      </c>
      <c r="K1373" s="18" t="s">
        <v>2022</v>
      </c>
      <c r="L1373" s="19" t="str">
        <f t="shared" si="43"/>
        <v>Regular Customer</v>
      </c>
    </row>
    <row r="1374" spans="1:12" ht="15.75" customHeight="1" x14ac:dyDescent="0.3">
      <c r="A1374" s="7">
        <v>45582</v>
      </c>
      <c r="B1374" s="8" t="s">
        <v>1916</v>
      </c>
      <c r="C1374" s="8" t="s">
        <v>18</v>
      </c>
      <c r="D1374" s="8" t="s">
        <v>16</v>
      </c>
      <c r="E1374" s="9">
        <v>22.43</v>
      </c>
      <c r="F1374" s="8" t="s">
        <v>10</v>
      </c>
      <c r="G1374" s="8">
        <v>44.86</v>
      </c>
      <c r="H1374" s="10">
        <f t="shared" si="42"/>
        <v>10</v>
      </c>
      <c r="I1374" s="10">
        <f>YEAR(Sheet1!$A1374)</f>
        <v>2024</v>
      </c>
      <c r="J1374" s="10">
        <f>DAY(Sheet1!$A1374)</f>
        <v>17</v>
      </c>
      <c r="K1374" s="12" t="s">
        <v>2022</v>
      </c>
      <c r="L1374" s="13" t="str">
        <f t="shared" si="43"/>
        <v>Regular Customer</v>
      </c>
    </row>
    <row r="1375" spans="1:12" ht="15.75" customHeight="1" x14ac:dyDescent="0.3">
      <c r="A1375" s="14">
        <v>45743</v>
      </c>
      <c r="B1375" s="15" t="s">
        <v>1212</v>
      </c>
      <c r="C1375" s="15" t="s">
        <v>24</v>
      </c>
      <c r="D1375" s="15" t="s">
        <v>16</v>
      </c>
      <c r="E1375" s="16">
        <v>14.96</v>
      </c>
      <c r="F1375" s="15" t="s">
        <v>11</v>
      </c>
      <c r="G1375" s="15">
        <v>44.88</v>
      </c>
      <c r="H1375" s="17">
        <f t="shared" si="42"/>
        <v>3</v>
      </c>
      <c r="I1375" s="17">
        <f>YEAR(Sheet1!$A1375)</f>
        <v>2025</v>
      </c>
      <c r="J1375" s="17">
        <f>DAY(Sheet1!$A1375)</f>
        <v>27</v>
      </c>
      <c r="K1375" s="18" t="s">
        <v>2022</v>
      </c>
      <c r="L1375" s="19" t="str">
        <f t="shared" si="43"/>
        <v>Regular Customer</v>
      </c>
    </row>
    <row r="1376" spans="1:12" ht="15.75" customHeight="1" x14ac:dyDescent="0.3">
      <c r="A1376" s="7">
        <v>45743</v>
      </c>
      <c r="B1376" s="8" t="s">
        <v>649</v>
      </c>
      <c r="C1376" s="8" t="s">
        <v>8</v>
      </c>
      <c r="D1376" s="8" t="s">
        <v>19</v>
      </c>
      <c r="E1376" s="9">
        <v>22.46</v>
      </c>
      <c r="F1376" s="8" t="s">
        <v>11</v>
      </c>
      <c r="G1376" s="8">
        <v>44.92</v>
      </c>
      <c r="H1376" s="10">
        <f t="shared" si="42"/>
        <v>3</v>
      </c>
      <c r="I1376" s="10">
        <f>YEAR(Sheet1!$A1376)</f>
        <v>2025</v>
      </c>
      <c r="J1376" s="10">
        <f>DAY(Sheet1!$A1376)</f>
        <v>27</v>
      </c>
      <c r="K1376" s="12" t="s">
        <v>2022</v>
      </c>
      <c r="L1376" s="13" t="str">
        <f t="shared" si="43"/>
        <v>Regular Customer</v>
      </c>
    </row>
    <row r="1377" spans="1:12" ht="15.75" customHeight="1" x14ac:dyDescent="0.3">
      <c r="A1377" s="14">
        <v>45718</v>
      </c>
      <c r="B1377" s="15" t="s">
        <v>1000</v>
      </c>
      <c r="C1377" s="15" t="s">
        <v>8</v>
      </c>
      <c r="D1377" s="15" t="s">
        <v>16</v>
      </c>
      <c r="E1377" s="16">
        <v>14.98</v>
      </c>
      <c r="F1377" s="15" t="s">
        <v>10</v>
      </c>
      <c r="G1377" s="15">
        <v>44.94</v>
      </c>
      <c r="H1377" s="17">
        <f t="shared" si="42"/>
        <v>3</v>
      </c>
      <c r="I1377" s="17">
        <f>YEAR(Sheet1!$A1377)</f>
        <v>2025</v>
      </c>
      <c r="J1377" s="17">
        <f>DAY(Sheet1!$A1377)</f>
        <v>2</v>
      </c>
      <c r="K1377" s="18" t="s">
        <v>2023</v>
      </c>
      <c r="L1377" s="19" t="str">
        <f t="shared" si="43"/>
        <v>Regular Customer</v>
      </c>
    </row>
    <row r="1378" spans="1:12" ht="15.75" customHeight="1" x14ac:dyDescent="0.3">
      <c r="A1378" s="7">
        <v>45673</v>
      </c>
      <c r="B1378" s="8" t="s">
        <v>970</v>
      </c>
      <c r="C1378" s="8" t="s">
        <v>24</v>
      </c>
      <c r="D1378" s="8" t="s">
        <v>19</v>
      </c>
      <c r="E1378" s="9">
        <v>22.49</v>
      </c>
      <c r="F1378" s="8" t="s">
        <v>10</v>
      </c>
      <c r="G1378" s="8">
        <v>44.98</v>
      </c>
      <c r="H1378" s="10">
        <f t="shared" si="42"/>
        <v>1</v>
      </c>
      <c r="I1378" s="10">
        <f>YEAR(Sheet1!$A1378)</f>
        <v>2025</v>
      </c>
      <c r="J1378" s="10">
        <f>DAY(Sheet1!$A1378)</f>
        <v>16</v>
      </c>
      <c r="K1378" s="12" t="s">
        <v>2023</v>
      </c>
      <c r="L1378" s="13" t="str">
        <f t="shared" si="43"/>
        <v>Regular Customer</v>
      </c>
    </row>
    <row r="1379" spans="1:12" ht="15.75" customHeight="1" x14ac:dyDescent="0.3">
      <c r="A1379" s="14">
        <v>45658</v>
      </c>
      <c r="B1379" s="15" t="s">
        <v>1648</v>
      </c>
      <c r="C1379" s="15" t="s">
        <v>24</v>
      </c>
      <c r="D1379" s="15" t="s">
        <v>16</v>
      </c>
      <c r="E1379" s="16">
        <v>22.5</v>
      </c>
      <c r="F1379" s="15" t="s">
        <v>11</v>
      </c>
      <c r="G1379" s="15">
        <v>45</v>
      </c>
      <c r="H1379" s="17">
        <f t="shared" si="42"/>
        <v>1</v>
      </c>
      <c r="I1379" s="17">
        <f>YEAR(Sheet1!$A1379)</f>
        <v>2025</v>
      </c>
      <c r="J1379" s="17">
        <f>DAY(Sheet1!$A1379)</f>
        <v>1</v>
      </c>
      <c r="K1379" s="18" t="s">
        <v>2023</v>
      </c>
      <c r="L1379" s="19" t="str">
        <f t="shared" si="43"/>
        <v>Regular Customer</v>
      </c>
    </row>
    <row r="1380" spans="1:12" ht="15.75" customHeight="1" x14ac:dyDescent="0.3">
      <c r="A1380" s="7">
        <v>45490</v>
      </c>
      <c r="B1380" s="8" t="s">
        <v>982</v>
      </c>
      <c r="C1380" s="8" t="s">
        <v>18</v>
      </c>
      <c r="D1380" s="8" t="s">
        <v>19</v>
      </c>
      <c r="E1380" s="9">
        <v>22.51</v>
      </c>
      <c r="F1380" s="8" t="s">
        <v>11</v>
      </c>
      <c r="G1380" s="8">
        <v>45.02</v>
      </c>
      <c r="H1380" s="10">
        <f t="shared" si="42"/>
        <v>7</v>
      </c>
      <c r="I1380" s="10">
        <f>YEAR(Sheet1!$A1380)</f>
        <v>2024</v>
      </c>
      <c r="J1380" s="10">
        <f>DAY(Sheet1!$A1380)</f>
        <v>17</v>
      </c>
      <c r="K1380" s="12" t="s">
        <v>2022</v>
      </c>
      <c r="L1380" s="13" t="str">
        <f t="shared" si="43"/>
        <v>Regular Customer</v>
      </c>
    </row>
    <row r="1381" spans="1:12" ht="15.75" customHeight="1" x14ac:dyDescent="0.3">
      <c r="A1381" s="14">
        <v>45413</v>
      </c>
      <c r="B1381" s="15" t="s">
        <v>1113</v>
      </c>
      <c r="C1381" s="15" t="s">
        <v>24</v>
      </c>
      <c r="D1381" s="15" t="s">
        <v>16</v>
      </c>
      <c r="E1381" s="16">
        <v>22.52</v>
      </c>
      <c r="F1381" s="15" t="s">
        <v>10</v>
      </c>
      <c r="G1381" s="15">
        <v>45.04</v>
      </c>
      <c r="H1381" s="17">
        <f t="shared" si="42"/>
        <v>5</v>
      </c>
      <c r="I1381" s="17">
        <f>YEAR(Sheet1!$A1381)</f>
        <v>2024</v>
      </c>
      <c r="J1381" s="17">
        <f>DAY(Sheet1!$A1381)</f>
        <v>1</v>
      </c>
      <c r="K1381" s="18" t="s">
        <v>2022</v>
      </c>
      <c r="L1381" s="19" t="str">
        <f t="shared" si="43"/>
        <v>Regular Customer</v>
      </c>
    </row>
    <row r="1382" spans="1:12" ht="15.75" customHeight="1" x14ac:dyDescent="0.3">
      <c r="A1382" s="7">
        <v>45502</v>
      </c>
      <c r="B1382" s="8" t="s">
        <v>1081</v>
      </c>
      <c r="C1382" s="8" t="s">
        <v>18</v>
      </c>
      <c r="D1382" s="8" t="s">
        <v>9</v>
      </c>
      <c r="E1382" s="9">
        <v>22.53</v>
      </c>
      <c r="F1382" s="8" t="s">
        <v>10</v>
      </c>
      <c r="G1382" s="8">
        <v>45.06</v>
      </c>
      <c r="H1382" s="10">
        <f t="shared" si="42"/>
        <v>7</v>
      </c>
      <c r="I1382" s="10">
        <f>YEAR(Sheet1!$A1382)</f>
        <v>2024</v>
      </c>
      <c r="J1382" s="10">
        <f>DAY(Sheet1!$A1382)</f>
        <v>29</v>
      </c>
      <c r="K1382" s="12" t="s">
        <v>2023</v>
      </c>
      <c r="L1382" s="13" t="str">
        <f t="shared" si="43"/>
        <v>Regular Customer</v>
      </c>
    </row>
    <row r="1383" spans="1:12" ht="15.75" customHeight="1" x14ac:dyDescent="0.3">
      <c r="A1383" s="14">
        <v>45555</v>
      </c>
      <c r="B1383" s="15" t="s">
        <v>1582</v>
      </c>
      <c r="C1383" s="15" t="s">
        <v>18</v>
      </c>
      <c r="D1383" s="15" t="s">
        <v>14</v>
      </c>
      <c r="E1383" s="16">
        <v>22.55</v>
      </c>
      <c r="F1383" s="15" t="s">
        <v>11</v>
      </c>
      <c r="G1383" s="15">
        <v>45.1</v>
      </c>
      <c r="H1383" s="17">
        <f t="shared" si="42"/>
        <v>9</v>
      </c>
      <c r="I1383" s="17">
        <f>YEAR(Sheet1!$A1383)</f>
        <v>2024</v>
      </c>
      <c r="J1383" s="17">
        <f>DAY(Sheet1!$A1383)</f>
        <v>20</v>
      </c>
      <c r="K1383" s="18" t="s">
        <v>2022</v>
      </c>
      <c r="L1383" s="19" t="str">
        <f t="shared" si="43"/>
        <v>Regular Customer</v>
      </c>
    </row>
    <row r="1384" spans="1:12" ht="15.75" customHeight="1" x14ac:dyDescent="0.3">
      <c r="A1384" s="7">
        <v>45507</v>
      </c>
      <c r="B1384" s="8" t="s">
        <v>703</v>
      </c>
      <c r="C1384" s="8" t="s">
        <v>13</v>
      </c>
      <c r="D1384" s="8" t="s">
        <v>9</v>
      </c>
      <c r="E1384" s="9">
        <v>15.05</v>
      </c>
      <c r="F1384" s="8" t="s">
        <v>11</v>
      </c>
      <c r="G1384" s="8">
        <v>45.15</v>
      </c>
      <c r="H1384" s="10">
        <f t="shared" si="42"/>
        <v>8</v>
      </c>
      <c r="I1384" s="10">
        <f>YEAR(Sheet1!$A1384)</f>
        <v>2024</v>
      </c>
      <c r="J1384" s="10">
        <f>DAY(Sheet1!$A1384)</f>
        <v>3</v>
      </c>
      <c r="K1384" s="12" t="s">
        <v>2023</v>
      </c>
      <c r="L1384" s="13" t="str">
        <f t="shared" si="43"/>
        <v>Regular Customer</v>
      </c>
    </row>
    <row r="1385" spans="1:12" ht="15.75" customHeight="1" x14ac:dyDescent="0.3">
      <c r="A1385" s="14">
        <v>45483</v>
      </c>
      <c r="B1385" s="15" t="s">
        <v>290</v>
      </c>
      <c r="C1385" s="15" t="s">
        <v>24</v>
      </c>
      <c r="D1385" s="15" t="s">
        <v>14</v>
      </c>
      <c r="E1385" s="16">
        <v>22.58</v>
      </c>
      <c r="F1385" s="15" t="s">
        <v>10</v>
      </c>
      <c r="G1385" s="15">
        <v>45.16</v>
      </c>
      <c r="H1385" s="17">
        <f t="shared" si="42"/>
        <v>7</v>
      </c>
      <c r="I1385" s="17">
        <f>YEAR(Sheet1!$A1385)</f>
        <v>2024</v>
      </c>
      <c r="J1385" s="17">
        <f>DAY(Sheet1!$A1385)</f>
        <v>10</v>
      </c>
      <c r="K1385" s="18" t="s">
        <v>2022</v>
      </c>
      <c r="L1385" s="19" t="str">
        <f t="shared" si="43"/>
        <v>Regular Customer</v>
      </c>
    </row>
    <row r="1386" spans="1:12" ht="15.75" customHeight="1" x14ac:dyDescent="0.3">
      <c r="A1386" s="7">
        <v>45661</v>
      </c>
      <c r="B1386" s="8" t="s">
        <v>1311</v>
      </c>
      <c r="C1386" s="8" t="s">
        <v>8</v>
      </c>
      <c r="D1386" s="8" t="s">
        <v>14</v>
      </c>
      <c r="E1386" s="9">
        <v>15.08</v>
      </c>
      <c r="F1386" s="8" t="s">
        <v>11</v>
      </c>
      <c r="G1386" s="8">
        <v>45.24</v>
      </c>
      <c r="H1386" s="10">
        <f t="shared" si="42"/>
        <v>1</v>
      </c>
      <c r="I1386" s="10">
        <f>YEAR(Sheet1!$A1386)</f>
        <v>2025</v>
      </c>
      <c r="J1386" s="10">
        <f>DAY(Sheet1!$A1386)</f>
        <v>4</v>
      </c>
      <c r="K1386" s="12" t="s">
        <v>2023</v>
      </c>
      <c r="L1386" s="13" t="str">
        <f t="shared" si="43"/>
        <v>Regular Customer</v>
      </c>
    </row>
    <row r="1387" spans="1:12" ht="15.75" customHeight="1" x14ac:dyDescent="0.3">
      <c r="A1387" s="14">
        <v>45676</v>
      </c>
      <c r="B1387" s="15" t="s">
        <v>624</v>
      </c>
      <c r="C1387" s="15" t="s">
        <v>18</v>
      </c>
      <c r="D1387" s="15" t="s">
        <v>19</v>
      </c>
      <c r="E1387" s="16">
        <v>15.08</v>
      </c>
      <c r="F1387" s="15" t="s">
        <v>11</v>
      </c>
      <c r="G1387" s="15">
        <v>45.24</v>
      </c>
      <c r="H1387" s="17">
        <f t="shared" si="42"/>
        <v>1</v>
      </c>
      <c r="I1387" s="17">
        <f>YEAR(Sheet1!$A1387)</f>
        <v>2025</v>
      </c>
      <c r="J1387" s="17">
        <f>DAY(Sheet1!$A1387)</f>
        <v>19</v>
      </c>
      <c r="K1387" s="18" t="s">
        <v>2022</v>
      </c>
      <c r="L1387" s="19" t="str">
        <f t="shared" si="43"/>
        <v>Regular Customer</v>
      </c>
    </row>
    <row r="1388" spans="1:12" ht="15.75" customHeight="1" x14ac:dyDescent="0.3">
      <c r="A1388" s="7">
        <v>45742</v>
      </c>
      <c r="B1388" s="8" t="s">
        <v>1383</v>
      </c>
      <c r="C1388" s="8" t="s">
        <v>13</v>
      </c>
      <c r="D1388" s="8" t="s">
        <v>9</v>
      </c>
      <c r="E1388" s="9">
        <v>22.7</v>
      </c>
      <c r="F1388" s="8" t="s">
        <v>11</v>
      </c>
      <c r="G1388" s="8">
        <v>45.4</v>
      </c>
      <c r="H1388" s="10">
        <f t="shared" si="42"/>
        <v>3</v>
      </c>
      <c r="I1388" s="10">
        <f>YEAR(Sheet1!$A1388)</f>
        <v>2025</v>
      </c>
      <c r="J1388" s="10">
        <f>DAY(Sheet1!$A1388)</f>
        <v>26</v>
      </c>
      <c r="K1388" s="12" t="s">
        <v>2023</v>
      </c>
      <c r="L1388" s="13" t="str">
        <f t="shared" si="43"/>
        <v>Regular Customer</v>
      </c>
    </row>
    <row r="1389" spans="1:12" ht="15.75" customHeight="1" x14ac:dyDescent="0.3">
      <c r="A1389" s="14">
        <v>45633</v>
      </c>
      <c r="B1389" s="15" t="s">
        <v>164</v>
      </c>
      <c r="C1389" s="15" t="s">
        <v>18</v>
      </c>
      <c r="D1389" s="15" t="s">
        <v>14</v>
      </c>
      <c r="E1389" s="16">
        <v>15.14</v>
      </c>
      <c r="F1389" s="15" t="s">
        <v>11</v>
      </c>
      <c r="G1389" s="15">
        <v>45.42</v>
      </c>
      <c r="H1389" s="17">
        <f t="shared" si="42"/>
        <v>12</v>
      </c>
      <c r="I1389" s="17">
        <f>YEAR(Sheet1!$A1389)</f>
        <v>2024</v>
      </c>
      <c r="J1389" s="17">
        <f>DAY(Sheet1!$A1389)</f>
        <v>7</v>
      </c>
      <c r="K1389" s="18" t="s">
        <v>2023</v>
      </c>
      <c r="L1389" s="19" t="str">
        <f t="shared" si="43"/>
        <v>Regular Customer</v>
      </c>
    </row>
    <row r="1390" spans="1:12" ht="15.75" customHeight="1" x14ac:dyDescent="0.3">
      <c r="A1390" s="7">
        <v>45492</v>
      </c>
      <c r="B1390" s="8" t="s">
        <v>1193</v>
      </c>
      <c r="C1390" s="8" t="s">
        <v>18</v>
      </c>
      <c r="D1390" s="8" t="s">
        <v>19</v>
      </c>
      <c r="E1390" s="9">
        <v>22.72</v>
      </c>
      <c r="F1390" s="8" t="s">
        <v>11</v>
      </c>
      <c r="G1390" s="8">
        <v>45.44</v>
      </c>
      <c r="H1390" s="10">
        <f t="shared" si="42"/>
        <v>7</v>
      </c>
      <c r="I1390" s="10">
        <f>YEAR(Sheet1!$A1390)</f>
        <v>2024</v>
      </c>
      <c r="J1390" s="10">
        <f>DAY(Sheet1!$A1390)</f>
        <v>19</v>
      </c>
      <c r="K1390" s="12" t="s">
        <v>2023</v>
      </c>
      <c r="L1390" s="13" t="str">
        <f t="shared" si="43"/>
        <v>Regular Customer</v>
      </c>
    </row>
    <row r="1391" spans="1:12" ht="15.75" customHeight="1" x14ac:dyDescent="0.3">
      <c r="A1391" s="14">
        <v>45731</v>
      </c>
      <c r="B1391" s="15" t="s">
        <v>559</v>
      </c>
      <c r="C1391" s="15" t="s">
        <v>18</v>
      </c>
      <c r="D1391" s="15" t="s">
        <v>14</v>
      </c>
      <c r="E1391" s="16">
        <v>22.74</v>
      </c>
      <c r="F1391" s="15" t="s">
        <v>11</v>
      </c>
      <c r="G1391" s="15">
        <v>45.48</v>
      </c>
      <c r="H1391" s="17">
        <f t="shared" si="42"/>
        <v>3</v>
      </c>
      <c r="I1391" s="17">
        <f>YEAR(Sheet1!$A1391)</f>
        <v>2025</v>
      </c>
      <c r="J1391" s="17">
        <f>DAY(Sheet1!$A1391)</f>
        <v>15</v>
      </c>
      <c r="K1391" s="18" t="s">
        <v>2022</v>
      </c>
      <c r="L1391" s="19" t="str">
        <f t="shared" si="43"/>
        <v>Regular Customer</v>
      </c>
    </row>
    <row r="1392" spans="1:12" ht="15.75" customHeight="1" x14ac:dyDescent="0.3">
      <c r="A1392" s="7">
        <v>45701</v>
      </c>
      <c r="B1392" s="8" t="s">
        <v>729</v>
      </c>
      <c r="C1392" s="8" t="s">
        <v>18</v>
      </c>
      <c r="D1392" s="8" t="s">
        <v>14</v>
      </c>
      <c r="E1392" s="9">
        <v>15.19</v>
      </c>
      <c r="F1392" s="8" t="s">
        <v>11</v>
      </c>
      <c r="G1392" s="8">
        <v>45.57</v>
      </c>
      <c r="H1392" s="10">
        <f t="shared" si="42"/>
        <v>2</v>
      </c>
      <c r="I1392" s="10">
        <f>YEAR(Sheet1!$A1392)</f>
        <v>2025</v>
      </c>
      <c r="J1392" s="10">
        <f>DAY(Sheet1!$A1392)</f>
        <v>13</v>
      </c>
      <c r="K1392" s="12" t="s">
        <v>2023</v>
      </c>
      <c r="L1392" s="13" t="str">
        <f t="shared" si="43"/>
        <v>Regular Customer</v>
      </c>
    </row>
    <row r="1393" spans="1:12" ht="15.75" customHeight="1" x14ac:dyDescent="0.3">
      <c r="A1393" s="14">
        <v>45683</v>
      </c>
      <c r="B1393" s="15" t="s">
        <v>1051</v>
      </c>
      <c r="C1393" s="15" t="s">
        <v>24</v>
      </c>
      <c r="D1393" s="15" t="s">
        <v>19</v>
      </c>
      <c r="E1393" s="16">
        <v>22.8</v>
      </c>
      <c r="F1393" s="15" t="s">
        <v>10</v>
      </c>
      <c r="G1393" s="15">
        <v>45.6</v>
      </c>
      <c r="H1393" s="17">
        <f t="shared" si="42"/>
        <v>1</v>
      </c>
      <c r="I1393" s="17">
        <f>YEAR(Sheet1!$A1393)</f>
        <v>2025</v>
      </c>
      <c r="J1393" s="17">
        <f>DAY(Sheet1!$A1393)</f>
        <v>26</v>
      </c>
      <c r="K1393" s="18" t="s">
        <v>2022</v>
      </c>
      <c r="L1393" s="19" t="str">
        <f t="shared" si="43"/>
        <v>Regular Customer</v>
      </c>
    </row>
    <row r="1394" spans="1:12" ht="15.75" customHeight="1" x14ac:dyDescent="0.3">
      <c r="A1394" s="7">
        <v>45451</v>
      </c>
      <c r="B1394" s="8" t="s">
        <v>1431</v>
      </c>
      <c r="C1394" s="8" t="s">
        <v>24</v>
      </c>
      <c r="D1394" s="8" t="s">
        <v>16</v>
      </c>
      <c r="E1394" s="9">
        <v>22.83</v>
      </c>
      <c r="F1394" s="8" t="s">
        <v>11</v>
      </c>
      <c r="G1394" s="8">
        <v>45.66</v>
      </c>
      <c r="H1394" s="10">
        <f t="shared" si="42"/>
        <v>6</v>
      </c>
      <c r="I1394" s="10">
        <f>YEAR(Sheet1!$A1394)</f>
        <v>2024</v>
      </c>
      <c r="J1394" s="10">
        <f>DAY(Sheet1!$A1394)</f>
        <v>8</v>
      </c>
      <c r="K1394" s="12" t="s">
        <v>2022</v>
      </c>
      <c r="L1394" s="13" t="str">
        <f t="shared" si="43"/>
        <v>Regular Customer</v>
      </c>
    </row>
    <row r="1395" spans="1:12" ht="15.75" customHeight="1" x14ac:dyDescent="0.3">
      <c r="A1395" s="14">
        <v>45707</v>
      </c>
      <c r="B1395" s="15" t="s">
        <v>1129</v>
      </c>
      <c r="C1395" s="15" t="s">
        <v>8</v>
      </c>
      <c r="D1395" s="15" t="s">
        <v>19</v>
      </c>
      <c r="E1395" s="16">
        <v>22.83</v>
      </c>
      <c r="F1395" s="15" t="s">
        <v>10</v>
      </c>
      <c r="G1395" s="15">
        <v>45.66</v>
      </c>
      <c r="H1395" s="17">
        <f t="shared" si="42"/>
        <v>2</v>
      </c>
      <c r="I1395" s="17">
        <f>YEAR(Sheet1!$A1395)</f>
        <v>2025</v>
      </c>
      <c r="J1395" s="17">
        <f>DAY(Sheet1!$A1395)</f>
        <v>19</v>
      </c>
      <c r="K1395" s="18" t="s">
        <v>2022</v>
      </c>
      <c r="L1395" s="19" t="str">
        <f t="shared" si="43"/>
        <v>Regular Customer</v>
      </c>
    </row>
    <row r="1396" spans="1:12" ht="15.75" customHeight="1" x14ac:dyDescent="0.3">
      <c r="A1396" s="7">
        <v>45748</v>
      </c>
      <c r="B1396" s="8" t="s">
        <v>714</v>
      </c>
      <c r="C1396" s="8" t="s">
        <v>8</v>
      </c>
      <c r="D1396" s="8" t="s">
        <v>19</v>
      </c>
      <c r="E1396" s="9">
        <v>22.84</v>
      </c>
      <c r="F1396" s="8" t="s">
        <v>10</v>
      </c>
      <c r="G1396" s="8">
        <v>45.68</v>
      </c>
      <c r="H1396" s="10">
        <f t="shared" si="42"/>
        <v>4</v>
      </c>
      <c r="I1396" s="10">
        <f>YEAR(Sheet1!$A1396)</f>
        <v>2025</v>
      </c>
      <c r="J1396" s="10">
        <f>DAY(Sheet1!$A1396)</f>
        <v>1</v>
      </c>
      <c r="K1396" s="12" t="s">
        <v>2022</v>
      </c>
      <c r="L1396" s="13" t="str">
        <f t="shared" si="43"/>
        <v>Regular Customer</v>
      </c>
    </row>
    <row r="1397" spans="1:12" ht="15.75" customHeight="1" x14ac:dyDescent="0.3">
      <c r="A1397" s="14">
        <v>45737</v>
      </c>
      <c r="B1397" s="15" t="s">
        <v>1227</v>
      </c>
      <c r="C1397" s="15" t="s">
        <v>18</v>
      </c>
      <c r="D1397" s="15" t="s">
        <v>16</v>
      </c>
      <c r="E1397" s="16">
        <v>22.87</v>
      </c>
      <c r="F1397" s="15" t="s">
        <v>10</v>
      </c>
      <c r="G1397" s="15">
        <v>45.74</v>
      </c>
      <c r="H1397" s="17">
        <f t="shared" si="42"/>
        <v>3</v>
      </c>
      <c r="I1397" s="17">
        <f>YEAR(Sheet1!$A1397)</f>
        <v>2025</v>
      </c>
      <c r="J1397" s="17">
        <f>DAY(Sheet1!$A1397)</f>
        <v>21</v>
      </c>
      <c r="K1397" s="18" t="s">
        <v>2023</v>
      </c>
      <c r="L1397" s="19" t="str">
        <f t="shared" si="43"/>
        <v>Regular Customer</v>
      </c>
    </row>
    <row r="1398" spans="1:12" ht="15.75" customHeight="1" x14ac:dyDescent="0.3">
      <c r="A1398" s="7">
        <v>45548</v>
      </c>
      <c r="B1398" s="8" t="s">
        <v>149</v>
      </c>
      <c r="C1398" s="8" t="s">
        <v>24</v>
      </c>
      <c r="D1398" s="8" t="s">
        <v>16</v>
      </c>
      <c r="E1398" s="9">
        <v>15.25</v>
      </c>
      <c r="F1398" s="8" t="s">
        <v>10</v>
      </c>
      <c r="G1398" s="8">
        <v>45.75</v>
      </c>
      <c r="H1398" s="10">
        <f t="shared" si="42"/>
        <v>9</v>
      </c>
      <c r="I1398" s="10">
        <f>YEAR(Sheet1!$A1398)</f>
        <v>2024</v>
      </c>
      <c r="J1398" s="10">
        <f>DAY(Sheet1!$A1398)</f>
        <v>13</v>
      </c>
      <c r="K1398" s="12" t="s">
        <v>2022</v>
      </c>
      <c r="L1398" s="13" t="str">
        <f t="shared" si="43"/>
        <v>Regular Customer</v>
      </c>
    </row>
    <row r="1399" spans="1:12" ht="15.75" customHeight="1" x14ac:dyDescent="0.3">
      <c r="A1399" s="14">
        <v>45580</v>
      </c>
      <c r="B1399" s="15" t="s">
        <v>1079</v>
      </c>
      <c r="C1399" s="15" t="s">
        <v>18</v>
      </c>
      <c r="D1399" s="15" t="s">
        <v>14</v>
      </c>
      <c r="E1399" s="16">
        <v>22.89</v>
      </c>
      <c r="F1399" s="15" t="s">
        <v>11</v>
      </c>
      <c r="G1399" s="15">
        <v>45.78</v>
      </c>
      <c r="H1399" s="17">
        <f t="shared" si="42"/>
        <v>10</v>
      </c>
      <c r="I1399" s="17">
        <f>YEAR(Sheet1!$A1399)</f>
        <v>2024</v>
      </c>
      <c r="J1399" s="17">
        <f>DAY(Sheet1!$A1399)</f>
        <v>15</v>
      </c>
      <c r="K1399" s="18" t="s">
        <v>2022</v>
      </c>
      <c r="L1399" s="19" t="str">
        <f t="shared" si="43"/>
        <v>Regular Customer</v>
      </c>
    </row>
    <row r="1400" spans="1:12" ht="15.75" customHeight="1" x14ac:dyDescent="0.3">
      <c r="A1400" s="7">
        <v>45433</v>
      </c>
      <c r="B1400" s="8" t="s">
        <v>621</v>
      </c>
      <c r="C1400" s="8" t="s">
        <v>8</v>
      </c>
      <c r="D1400" s="8" t="s">
        <v>16</v>
      </c>
      <c r="E1400" s="9">
        <v>22.93</v>
      </c>
      <c r="F1400" s="8" t="s">
        <v>11</v>
      </c>
      <c r="G1400" s="8">
        <v>45.86</v>
      </c>
      <c r="H1400" s="10">
        <f t="shared" si="42"/>
        <v>5</v>
      </c>
      <c r="I1400" s="10">
        <f>YEAR(Sheet1!$A1400)</f>
        <v>2024</v>
      </c>
      <c r="J1400" s="10">
        <f>DAY(Sheet1!$A1400)</f>
        <v>21</v>
      </c>
      <c r="K1400" s="12" t="s">
        <v>2023</v>
      </c>
      <c r="L1400" s="13" t="str">
        <f t="shared" si="43"/>
        <v>Regular Customer</v>
      </c>
    </row>
    <row r="1401" spans="1:12" ht="15.75" customHeight="1" x14ac:dyDescent="0.3">
      <c r="A1401" s="14">
        <v>45700</v>
      </c>
      <c r="B1401" s="15" t="s">
        <v>872</v>
      </c>
      <c r="C1401" s="15" t="s">
        <v>13</v>
      </c>
      <c r="D1401" s="15" t="s">
        <v>16</v>
      </c>
      <c r="E1401" s="16">
        <v>22.97</v>
      </c>
      <c r="F1401" s="15" t="s">
        <v>11</v>
      </c>
      <c r="G1401" s="15">
        <v>45.94</v>
      </c>
      <c r="H1401" s="17">
        <f t="shared" si="42"/>
        <v>2</v>
      </c>
      <c r="I1401" s="17">
        <f>YEAR(Sheet1!$A1401)</f>
        <v>2025</v>
      </c>
      <c r="J1401" s="17">
        <f>DAY(Sheet1!$A1401)</f>
        <v>12</v>
      </c>
      <c r="K1401" s="18" t="s">
        <v>2023</v>
      </c>
      <c r="L1401" s="19" t="str">
        <f t="shared" si="43"/>
        <v>Regular Customer</v>
      </c>
    </row>
    <row r="1402" spans="1:12" ht="15.75" customHeight="1" x14ac:dyDescent="0.3">
      <c r="A1402" s="7">
        <v>45544</v>
      </c>
      <c r="B1402" s="8" t="s">
        <v>1281</v>
      </c>
      <c r="C1402" s="8" t="s">
        <v>8</v>
      </c>
      <c r="D1402" s="8" t="s">
        <v>19</v>
      </c>
      <c r="E1402" s="9">
        <v>15.32</v>
      </c>
      <c r="F1402" s="8" t="s">
        <v>11</v>
      </c>
      <c r="G1402" s="8">
        <v>45.96</v>
      </c>
      <c r="H1402" s="10">
        <f t="shared" si="42"/>
        <v>9</v>
      </c>
      <c r="I1402" s="10">
        <f>YEAR(Sheet1!$A1402)</f>
        <v>2024</v>
      </c>
      <c r="J1402" s="10">
        <f>DAY(Sheet1!$A1402)</f>
        <v>9</v>
      </c>
      <c r="K1402" s="12" t="s">
        <v>2023</v>
      </c>
      <c r="L1402" s="13" t="str">
        <f t="shared" si="43"/>
        <v>Regular Customer</v>
      </c>
    </row>
    <row r="1403" spans="1:12" ht="15.75" customHeight="1" x14ac:dyDescent="0.3">
      <c r="A1403" s="14">
        <v>45505</v>
      </c>
      <c r="B1403" s="15" t="s">
        <v>1126</v>
      </c>
      <c r="C1403" s="15" t="s">
        <v>13</v>
      </c>
      <c r="D1403" s="15" t="s">
        <v>9</v>
      </c>
      <c r="E1403" s="16">
        <v>22.99</v>
      </c>
      <c r="F1403" s="15" t="s">
        <v>11</v>
      </c>
      <c r="G1403" s="15">
        <v>45.98</v>
      </c>
      <c r="H1403" s="17">
        <f t="shared" si="42"/>
        <v>8</v>
      </c>
      <c r="I1403" s="17">
        <f>YEAR(Sheet1!$A1403)</f>
        <v>2024</v>
      </c>
      <c r="J1403" s="17">
        <f>DAY(Sheet1!$A1403)</f>
        <v>1</v>
      </c>
      <c r="K1403" s="18" t="s">
        <v>2022</v>
      </c>
      <c r="L1403" s="19" t="str">
        <f t="shared" si="43"/>
        <v>Regular Customer</v>
      </c>
    </row>
    <row r="1404" spans="1:12" ht="15.75" customHeight="1" x14ac:dyDescent="0.3">
      <c r="A1404" s="7">
        <v>45739</v>
      </c>
      <c r="B1404" s="8" t="s">
        <v>1216</v>
      </c>
      <c r="C1404" s="8" t="s">
        <v>24</v>
      </c>
      <c r="D1404" s="8" t="s">
        <v>14</v>
      </c>
      <c r="E1404" s="9">
        <v>15.33</v>
      </c>
      <c r="F1404" s="8" t="s">
        <v>10</v>
      </c>
      <c r="G1404" s="8">
        <v>45.99</v>
      </c>
      <c r="H1404" s="10">
        <f t="shared" si="42"/>
        <v>3</v>
      </c>
      <c r="I1404" s="10">
        <f>YEAR(Sheet1!$A1404)</f>
        <v>2025</v>
      </c>
      <c r="J1404" s="10">
        <f>DAY(Sheet1!$A1404)</f>
        <v>23</v>
      </c>
      <c r="K1404" s="12" t="s">
        <v>2023</v>
      </c>
      <c r="L1404" s="13" t="str">
        <f t="shared" si="43"/>
        <v>Regular Customer</v>
      </c>
    </row>
    <row r="1405" spans="1:12" ht="15.75" customHeight="1" x14ac:dyDescent="0.3">
      <c r="A1405" s="14">
        <v>45638</v>
      </c>
      <c r="B1405" s="15" t="s">
        <v>430</v>
      </c>
      <c r="C1405" s="15" t="s">
        <v>18</v>
      </c>
      <c r="D1405" s="15" t="s">
        <v>14</v>
      </c>
      <c r="E1405" s="16">
        <v>15.34</v>
      </c>
      <c r="F1405" s="15" t="s">
        <v>10</v>
      </c>
      <c r="G1405" s="15">
        <v>46.02</v>
      </c>
      <c r="H1405" s="17">
        <f t="shared" si="42"/>
        <v>12</v>
      </c>
      <c r="I1405" s="17">
        <f>YEAR(Sheet1!$A1405)</f>
        <v>2024</v>
      </c>
      <c r="J1405" s="17">
        <f>DAY(Sheet1!$A1405)</f>
        <v>12</v>
      </c>
      <c r="K1405" s="18" t="s">
        <v>2023</v>
      </c>
      <c r="L1405" s="19" t="str">
        <f t="shared" si="43"/>
        <v>Regular Customer</v>
      </c>
    </row>
    <row r="1406" spans="1:12" ht="15.75" customHeight="1" x14ac:dyDescent="0.3">
      <c r="A1406" s="7">
        <v>45478</v>
      </c>
      <c r="B1406" s="8" t="s">
        <v>26</v>
      </c>
      <c r="C1406" s="8" t="s">
        <v>24</v>
      </c>
      <c r="D1406" s="8" t="s">
        <v>16</v>
      </c>
      <c r="E1406" s="9">
        <v>23.04</v>
      </c>
      <c r="F1406" s="8" t="s">
        <v>10</v>
      </c>
      <c r="G1406" s="8">
        <v>46.08</v>
      </c>
      <c r="H1406" s="10">
        <f t="shared" si="42"/>
        <v>7</v>
      </c>
      <c r="I1406" s="10">
        <f>YEAR(Sheet1!$A1406)</f>
        <v>2024</v>
      </c>
      <c r="J1406" s="10">
        <f>DAY(Sheet1!$A1406)</f>
        <v>5</v>
      </c>
      <c r="K1406" s="12" t="s">
        <v>2023</v>
      </c>
      <c r="L1406" s="13" t="str">
        <f t="shared" si="43"/>
        <v>Regular Customer</v>
      </c>
    </row>
    <row r="1407" spans="1:12" ht="15.75" customHeight="1" x14ac:dyDescent="0.3">
      <c r="A1407" s="14">
        <v>45553</v>
      </c>
      <c r="B1407" s="15" t="s">
        <v>885</v>
      </c>
      <c r="C1407" s="15" t="s">
        <v>18</v>
      </c>
      <c r="D1407" s="15" t="s">
        <v>9</v>
      </c>
      <c r="E1407" s="16">
        <v>15.39</v>
      </c>
      <c r="F1407" s="15" t="s">
        <v>10</v>
      </c>
      <c r="G1407" s="15">
        <v>46.17</v>
      </c>
      <c r="H1407" s="17">
        <f t="shared" si="42"/>
        <v>9</v>
      </c>
      <c r="I1407" s="17">
        <f>YEAR(Sheet1!$A1407)</f>
        <v>2024</v>
      </c>
      <c r="J1407" s="17">
        <f>DAY(Sheet1!$A1407)</f>
        <v>18</v>
      </c>
      <c r="K1407" s="18" t="s">
        <v>2022</v>
      </c>
      <c r="L1407" s="19" t="str">
        <f t="shared" si="43"/>
        <v>Regular Customer</v>
      </c>
    </row>
    <row r="1408" spans="1:12" ht="15.75" customHeight="1" x14ac:dyDescent="0.3">
      <c r="A1408" s="7">
        <v>45491</v>
      </c>
      <c r="B1408" s="8" t="s">
        <v>1678</v>
      </c>
      <c r="C1408" s="8" t="s">
        <v>13</v>
      </c>
      <c r="D1408" s="8" t="s">
        <v>16</v>
      </c>
      <c r="E1408" s="9">
        <v>15.4</v>
      </c>
      <c r="F1408" s="8" t="s">
        <v>11</v>
      </c>
      <c r="G1408" s="8">
        <v>46.2</v>
      </c>
      <c r="H1408" s="10">
        <f t="shared" si="42"/>
        <v>7</v>
      </c>
      <c r="I1408" s="10">
        <f>YEAR(Sheet1!$A1408)</f>
        <v>2024</v>
      </c>
      <c r="J1408" s="10">
        <f>DAY(Sheet1!$A1408)</f>
        <v>18</v>
      </c>
      <c r="K1408" s="12" t="s">
        <v>2023</v>
      </c>
      <c r="L1408" s="13" t="str">
        <f t="shared" si="43"/>
        <v>Regular Customer</v>
      </c>
    </row>
    <row r="1409" spans="1:12" ht="15.75" customHeight="1" x14ac:dyDescent="0.3">
      <c r="A1409" s="14">
        <v>45647</v>
      </c>
      <c r="B1409" s="15" t="s">
        <v>486</v>
      </c>
      <c r="C1409" s="15" t="s">
        <v>18</v>
      </c>
      <c r="D1409" s="15" t="s">
        <v>9</v>
      </c>
      <c r="E1409" s="16">
        <v>15.4</v>
      </c>
      <c r="F1409" s="15" t="s">
        <v>10</v>
      </c>
      <c r="G1409" s="15">
        <v>46.2</v>
      </c>
      <c r="H1409" s="17">
        <f t="shared" si="42"/>
        <v>12</v>
      </c>
      <c r="I1409" s="17">
        <f>YEAR(Sheet1!$A1409)</f>
        <v>2024</v>
      </c>
      <c r="J1409" s="17">
        <f>DAY(Sheet1!$A1409)</f>
        <v>21</v>
      </c>
      <c r="K1409" s="18" t="s">
        <v>2023</v>
      </c>
      <c r="L1409" s="19" t="str">
        <f t="shared" si="43"/>
        <v>Regular Customer</v>
      </c>
    </row>
    <row r="1410" spans="1:12" ht="15.75" customHeight="1" x14ac:dyDescent="0.3">
      <c r="A1410" s="7">
        <v>45741</v>
      </c>
      <c r="B1410" s="8" t="s">
        <v>480</v>
      </c>
      <c r="C1410" s="8" t="s">
        <v>13</v>
      </c>
      <c r="D1410" s="8" t="s">
        <v>16</v>
      </c>
      <c r="E1410" s="9">
        <v>23.13</v>
      </c>
      <c r="F1410" s="8" t="s">
        <v>10</v>
      </c>
      <c r="G1410" s="8">
        <v>46.26</v>
      </c>
      <c r="H1410" s="10">
        <f t="shared" ref="H1410:H1473" si="44">MONTH(A1410)</f>
        <v>3</v>
      </c>
      <c r="I1410" s="10">
        <f>YEAR(Sheet1!$A1410)</f>
        <v>2025</v>
      </c>
      <c r="J1410" s="10">
        <f>DAY(Sheet1!$A1410)</f>
        <v>25</v>
      </c>
      <c r="K1410" s="12" t="s">
        <v>2023</v>
      </c>
      <c r="L1410" s="13" t="str">
        <f t="shared" ref="L1410:L1473" si="45">IF(G1410&gt;50,"Premium Customer","Regular Customer")</f>
        <v>Regular Customer</v>
      </c>
    </row>
    <row r="1411" spans="1:12" ht="15.75" customHeight="1" x14ac:dyDescent="0.3">
      <c r="A1411" s="14">
        <v>45703</v>
      </c>
      <c r="B1411" s="15" t="s">
        <v>787</v>
      </c>
      <c r="C1411" s="15" t="s">
        <v>18</v>
      </c>
      <c r="D1411" s="15" t="s">
        <v>9</v>
      </c>
      <c r="E1411" s="16">
        <v>15.44</v>
      </c>
      <c r="F1411" s="15" t="s">
        <v>10</v>
      </c>
      <c r="G1411" s="15">
        <v>46.32</v>
      </c>
      <c r="H1411" s="17">
        <f t="shared" si="44"/>
        <v>2</v>
      </c>
      <c r="I1411" s="17">
        <f>YEAR(Sheet1!$A1411)</f>
        <v>2025</v>
      </c>
      <c r="J1411" s="17">
        <f>DAY(Sheet1!$A1411)</f>
        <v>15</v>
      </c>
      <c r="K1411" s="18" t="s">
        <v>2023</v>
      </c>
      <c r="L1411" s="19" t="str">
        <f t="shared" si="45"/>
        <v>Regular Customer</v>
      </c>
    </row>
    <row r="1412" spans="1:12" ht="15.75" customHeight="1" x14ac:dyDescent="0.3">
      <c r="A1412" s="7">
        <v>45748</v>
      </c>
      <c r="B1412" s="8" t="s">
        <v>83</v>
      </c>
      <c r="C1412" s="8" t="s">
        <v>18</v>
      </c>
      <c r="D1412" s="8" t="s">
        <v>9</v>
      </c>
      <c r="E1412" s="9">
        <v>15.44</v>
      </c>
      <c r="F1412" s="8" t="s">
        <v>10</v>
      </c>
      <c r="G1412" s="8">
        <v>46.32</v>
      </c>
      <c r="H1412" s="10">
        <f t="shared" si="44"/>
        <v>4</v>
      </c>
      <c r="I1412" s="10">
        <f>YEAR(Sheet1!$A1412)</f>
        <v>2025</v>
      </c>
      <c r="J1412" s="10">
        <f>DAY(Sheet1!$A1412)</f>
        <v>1</v>
      </c>
      <c r="K1412" s="12" t="s">
        <v>2023</v>
      </c>
      <c r="L1412" s="13" t="str">
        <f t="shared" si="45"/>
        <v>Regular Customer</v>
      </c>
    </row>
    <row r="1413" spans="1:12" ht="15.75" customHeight="1" x14ac:dyDescent="0.3">
      <c r="A1413" s="14">
        <v>45452</v>
      </c>
      <c r="B1413" s="15" t="s">
        <v>1971</v>
      </c>
      <c r="C1413" s="15" t="s">
        <v>8</v>
      </c>
      <c r="D1413" s="15" t="s">
        <v>9</v>
      </c>
      <c r="E1413" s="16">
        <v>15.45</v>
      </c>
      <c r="F1413" s="15" t="s">
        <v>11</v>
      </c>
      <c r="G1413" s="15">
        <v>46.35</v>
      </c>
      <c r="H1413" s="17">
        <f t="shared" si="44"/>
        <v>6</v>
      </c>
      <c r="I1413" s="17">
        <f>YEAR(Sheet1!$A1413)</f>
        <v>2024</v>
      </c>
      <c r="J1413" s="17">
        <f>DAY(Sheet1!$A1413)</f>
        <v>9</v>
      </c>
      <c r="K1413" s="18" t="s">
        <v>2022</v>
      </c>
      <c r="L1413" s="19" t="str">
        <f t="shared" si="45"/>
        <v>Regular Customer</v>
      </c>
    </row>
    <row r="1414" spans="1:12" ht="15.75" customHeight="1" x14ac:dyDescent="0.3">
      <c r="A1414" s="7">
        <v>45528</v>
      </c>
      <c r="B1414" s="8" t="s">
        <v>327</v>
      </c>
      <c r="C1414" s="8" t="s">
        <v>13</v>
      </c>
      <c r="D1414" s="8" t="s">
        <v>19</v>
      </c>
      <c r="E1414" s="9">
        <v>15.45</v>
      </c>
      <c r="F1414" s="8" t="s">
        <v>11</v>
      </c>
      <c r="G1414" s="8">
        <v>46.35</v>
      </c>
      <c r="H1414" s="10">
        <f t="shared" si="44"/>
        <v>8</v>
      </c>
      <c r="I1414" s="10">
        <f>YEAR(Sheet1!$A1414)</f>
        <v>2024</v>
      </c>
      <c r="J1414" s="10">
        <f>DAY(Sheet1!$A1414)</f>
        <v>24</v>
      </c>
      <c r="K1414" s="12" t="s">
        <v>2022</v>
      </c>
      <c r="L1414" s="13" t="str">
        <f t="shared" si="45"/>
        <v>Regular Customer</v>
      </c>
    </row>
    <row r="1415" spans="1:12" ht="15.75" customHeight="1" x14ac:dyDescent="0.3">
      <c r="A1415" s="14">
        <v>45561</v>
      </c>
      <c r="B1415" s="15" t="s">
        <v>824</v>
      </c>
      <c r="C1415" s="15" t="s">
        <v>18</v>
      </c>
      <c r="D1415" s="15" t="s">
        <v>14</v>
      </c>
      <c r="E1415" s="16">
        <v>15.45</v>
      </c>
      <c r="F1415" s="15" t="s">
        <v>10</v>
      </c>
      <c r="G1415" s="15">
        <v>46.35</v>
      </c>
      <c r="H1415" s="17">
        <f t="shared" si="44"/>
        <v>9</v>
      </c>
      <c r="I1415" s="17">
        <f>YEAR(Sheet1!$A1415)</f>
        <v>2024</v>
      </c>
      <c r="J1415" s="17">
        <f>DAY(Sheet1!$A1415)</f>
        <v>26</v>
      </c>
      <c r="K1415" s="18" t="s">
        <v>2022</v>
      </c>
      <c r="L1415" s="19" t="str">
        <f t="shared" si="45"/>
        <v>Regular Customer</v>
      </c>
    </row>
    <row r="1416" spans="1:12" ht="15.75" customHeight="1" x14ac:dyDescent="0.3">
      <c r="A1416" s="7">
        <v>45450</v>
      </c>
      <c r="B1416" s="8" t="s">
        <v>1460</v>
      </c>
      <c r="C1416" s="8" t="s">
        <v>18</v>
      </c>
      <c r="D1416" s="8" t="s">
        <v>9</v>
      </c>
      <c r="E1416" s="9">
        <v>23.19</v>
      </c>
      <c r="F1416" s="8" t="s">
        <v>11</v>
      </c>
      <c r="G1416" s="8">
        <v>46.38</v>
      </c>
      <c r="H1416" s="10">
        <f t="shared" si="44"/>
        <v>6</v>
      </c>
      <c r="I1416" s="10">
        <f>YEAR(Sheet1!$A1416)</f>
        <v>2024</v>
      </c>
      <c r="J1416" s="10">
        <f>DAY(Sheet1!$A1416)</f>
        <v>7</v>
      </c>
      <c r="K1416" s="12" t="s">
        <v>2022</v>
      </c>
      <c r="L1416" s="13" t="str">
        <f t="shared" si="45"/>
        <v>Regular Customer</v>
      </c>
    </row>
    <row r="1417" spans="1:12" ht="15.75" customHeight="1" x14ac:dyDescent="0.3">
      <c r="A1417" s="14">
        <v>45552</v>
      </c>
      <c r="B1417" s="15" t="s">
        <v>1041</v>
      </c>
      <c r="C1417" s="15" t="s">
        <v>8</v>
      </c>
      <c r="D1417" s="15" t="s">
        <v>19</v>
      </c>
      <c r="E1417" s="16">
        <v>23.19</v>
      </c>
      <c r="F1417" s="15" t="s">
        <v>10</v>
      </c>
      <c r="G1417" s="15">
        <v>46.38</v>
      </c>
      <c r="H1417" s="17">
        <f t="shared" si="44"/>
        <v>9</v>
      </c>
      <c r="I1417" s="17">
        <f>YEAR(Sheet1!$A1417)</f>
        <v>2024</v>
      </c>
      <c r="J1417" s="17">
        <f>DAY(Sheet1!$A1417)</f>
        <v>17</v>
      </c>
      <c r="K1417" s="18" t="s">
        <v>2022</v>
      </c>
      <c r="L1417" s="19" t="str">
        <f t="shared" si="45"/>
        <v>Regular Customer</v>
      </c>
    </row>
    <row r="1418" spans="1:12" ht="15.75" customHeight="1" x14ac:dyDescent="0.3">
      <c r="A1418" s="7">
        <v>45481</v>
      </c>
      <c r="B1418" s="8" t="s">
        <v>1166</v>
      </c>
      <c r="C1418" s="8" t="s">
        <v>24</v>
      </c>
      <c r="D1418" s="8" t="s">
        <v>9</v>
      </c>
      <c r="E1418" s="9">
        <v>23.25</v>
      </c>
      <c r="F1418" s="8" t="s">
        <v>10</v>
      </c>
      <c r="G1418" s="8">
        <v>46.5</v>
      </c>
      <c r="H1418" s="10">
        <f t="shared" si="44"/>
        <v>7</v>
      </c>
      <c r="I1418" s="10">
        <f>YEAR(Sheet1!$A1418)</f>
        <v>2024</v>
      </c>
      <c r="J1418" s="10">
        <f>DAY(Sheet1!$A1418)</f>
        <v>8</v>
      </c>
      <c r="K1418" s="12" t="s">
        <v>2023</v>
      </c>
      <c r="L1418" s="13" t="str">
        <f t="shared" si="45"/>
        <v>Regular Customer</v>
      </c>
    </row>
    <row r="1419" spans="1:12" ht="15.75" customHeight="1" x14ac:dyDescent="0.3">
      <c r="A1419" s="14">
        <v>45523</v>
      </c>
      <c r="B1419" s="15" t="s">
        <v>1736</v>
      </c>
      <c r="C1419" s="15" t="s">
        <v>18</v>
      </c>
      <c r="D1419" s="15" t="s">
        <v>14</v>
      </c>
      <c r="E1419" s="16">
        <v>15.5</v>
      </c>
      <c r="F1419" s="15" t="s">
        <v>10</v>
      </c>
      <c r="G1419" s="15">
        <v>46.5</v>
      </c>
      <c r="H1419" s="17">
        <f t="shared" si="44"/>
        <v>8</v>
      </c>
      <c r="I1419" s="17">
        <f>YEAR(Sheet1!$A1419)</f>
        <v>2024</v>
      </c>
      <c r="J1419" s="17">
        <f>DAY(Sheet1!$A1419)</f>
        <v>19</v>
      </c>
      <c r="K1419" s="18" t="s">
        <v>2023</v>
      </c>
      <c r="L1419" s="19" t="str">
        <f t="shared" si="45"/>
        <v>Regular Customer</v>
      </c>
    </row>
    <row r="1420" spans="1:12" ht="15.75" customHeight="1" x14ac:dyDescent="0.3">
      <c r="A1420" s="7">
        <v>45754</v>
      </c>
      <c r="B1420" s="8" t="s">
        <v>710</v>
      </c>
      <c r="C1420" s="8" t="s">
        <v>8</v>
      </c>
      <c r="D1420" s="8" t="s">
        <v>9</v>
      </c>
      <c r="E1420" s="9">
        <v>23.26</v>
      </c>
      <c r="F1420" s="8" t="s">
        <v>10</v>
      </c>
      <c r="G1420" s="8">
        <v>46.52</v>
      </c>
      <c r="H1420" s="10">
        <f t="shared" si="44"/>
        <v>4</v>
      </c>
      <c r="I1420" s="10">
        <f>YEAR(Sheet1!$A1420)</f>
        <v>2025</v>
      </c>
      <c r="J1420" s="10">
        <f>DAY(Sheet1!$A1420)</f>
        <v>7</v>
      </c>
      <c r="K1420" s="12" t="s">
        <v>2023</v>
      </c>
      <c r="L1420" s="13" t="str">
        <f t="shared" si="45"/>
        <v>Regular Customer</v>
      </c>
    </row>
    <row r="1421" spans="1:12" ht="15.75" customHeight="1" x14ac:dyDescent="0.3">
      <c r="A1421" s="14">
        <v>45681</v>
      </c>
      <c r="B1421" s="15" t="s">
        <v>1342</v>
      </c>
      <c r="C1421" s="15" t="s">
        <v>18</v>
      </c>
      <c r="D1421" s="15" t="s">
        <v>14</v>
      </c>
      <c r="E1421" s="16">
        <v>23.27</v>
      </c>
      <c r="F1421" s="15" t="s">
        <v>11</v>
      </c>
      <c r="G1421" s="15">
        <v>46.54</v>
      </c>
      <c r="H1421" s="17">
        <f t="shared" si="44"/>
        <v>1</v>
      </c>
      <c r="I1421" s="17">
        <f>YEAR(Sheet1!$A1421)</f>
        <v>2025</v>
      </c>
      <c r="J1421" s="17">
        <f>DAY(Sheet1!$A1421)</f>
        <v>24</v>
      </c>
      <c r="K1421" s="18" t="s">
        <v>2023</v>
      </c>
      <c r="L1421" s="19" t="str">
        <f t="shared" si="45"/>
        <v>Regular Customer</v>
      </c>
    </row>
    <row r="1422" spans="1:12" ht="15.75" customHeight="1" x14ac:dyDescent="0.3">
      <c r="A1422" s="7">
        <v>45469</v>
      </c>
      <c r="B1422" s="8" t="s">
        <v>1860</v>
      </c>
      <c r="C1422" s="8" t="s">
        <v>24</v>
      </c>
      <c r="D1422" s="8" t="s">
        <v>9</v>
      </c>
      <c r="E1422" s="9">
        <v>23.29</v>
      </c>
      <c r="F1422" s="8" t="s">
        <v>11</v>
      </c>
      <c r="G1422" s="8">
        <v>46.58</v>
      </c>
      <c r="H1422" s="10">
        <f t="shared" si="44"/>
        <v>6</v>
      </c>
      <c r="I1422" s="10">
        <f>YEAR(Sheet1!$A1422)</f>
        <v>2024</v>
      </c>
      <c r="J1422" s="10">
        <f>DAY(Sheet1!$A1422)</f>
        <v>26</v>
      </c>
      <c r="K1422" s="12" t="s">
        <v>2023</v>
      </c>
      <c r="L1422" s="13" t="str">
        <f t="shared" si="45"/>
        <v>Regular Customer</v>
      </c>
    </row>
    <row r="1423" spans="1:12" ht="15.75" customHeight="1" x14ac:dyDescent="0.3">
      <c r="A1423" s="14">
        <v>45422</v>
      </c>
      <c r="B1423" s="15" t="s">
        <v>526</v>
      </c>
      <c r="C1423" s="15" t="s">
        <v>24</v>
      </c>
      <c r="D1423" s="15" t="s">
        <v>9</v>
      </c>
      <c r="E1423" s="16">
        <v>23.32</v>
      </c>
      <c r="F1423" s="15" t="s">
        <v>11</v>
      </c>
      <c r="G1423" s="15">
        <v>46.64</v>
      </c>
      <c r="H1423" s="17">
        <f t="shared" si="44"/>
        <v>5</v>
      </c>
      <c r="I1423" s="17">
        <f>YEAR(Sheet1!$A1423)</f>
        <v>2024</v>
      </c>
      <c r="J1423" s="17">
        <f>DAY(Sheet1!$A1423)</f>
        <v>10</v>
      </c>
      <c r="K1423" s="18" t="s">
        <v>2023</v>
      </c>
      <c r="L1423" s="19" t="str">
        <f t="shared" si="45"/>
        <v>Regular Customer</v>
      </c>
    </row>
    <row r="1424" spans="1:12" ht="15.75" customHeight="1" x14ac:dyDescent="0.3">
      <c r="A1424" s="7">
        <v>45683</v>
      </c>
      <c r="B1424" s="8" t="s">
        <v>331</v>
      </c>
      <c r="C1424" s="8" t="s">
        <v>18</v>
      </c>
      <c r="D1424" s="8" t="s">
        <v>19</v>
      </c>
      <c r="E1424" s="9">
        <v>23.34</v>
      </c>
      <c r="F1424" s="8" t="s">
        <v>11</v>
      </c>
      <c r="G1424" s="8">
        <v>46.68</v>
      </c>
      <c r="H1424" s="10">
        <f t="shared" si="44"/>
        <v>1</v>
      </c>
      <c r="I1424" s="10">
        <f>YEAR(Sheet1!$A1424)</f>
        <v>2025</v>
      </c>
      <c r="J1424" s="10">
        <f>DAY(Sheet1!$A1424)</f>
        <v>26</v>
      </c>
      <c r="K1424" s="12" t="s">
        <v>2022</v>
      </c>
      <c r="L1424" s="13" t="str">
        <f t="shared" si="45"/>
        <v>Regular Customer</v>
      </c>
    </row>
    <row r="1425" spans="1:12" ht="15.75" customHeight="1" x14ac:dyDescent="0.3">
      <c r="A1425" s="14">
        <v>45447</v>
      </c>
      <c r="B1425" s="15" t="s">
        <v>1157</v>
      </c>
      <c r="C1425" s="15" t="s">
        <v>24</v>
      </c>
      <c r="D1425" s="15" t="s">
        <v>14</v>
      </c>
      <c r="E1425" s="16">
        <v>15.62</v>
      </c>
      <c r="F1425" s="15" t="s">
        <v>11</v>
      </c>
      <c r="G1425" s="15">
        <v>46.86</v>
      </c>
      <c r="H1425" s="17">
        <f t="shared" si="44"/>
        <v>6</v>
      </c>
      <c r="I1425" s="17">
        <f>YEAR(Sheet1!$A1425)</f>
        <v>2024</v>
      </c>
      <c r="J1425" s="17">
        <f>DAY(Sheet1!$A1425)</f>
        <v>4</v>
      </c>
      <c r="K1425" s="18" t="s">
        <v>2023</v>
      </c>
      <c r="L1425" s="19" t="str">
        <f t="shared" si="45"/>
        <v>Regular Customer</v>
      </c>
    </row>
    <row r="1426" spans="1:12" ht="15.75" customHeight="1" x14ac:dyDescent="0.3">
      <c r="A1426" s="7">
        <v>45532</v>
      </c>
      <c r="B1426" s="8" t="s">
        <v>1948</v>
      </c>
      <c r="C1426" s="8" t="s">
        <v>8</v>
      </c>
      <c r="D1426" s="8" t="s">
        <v>19</v>
      </c>
      <c r="E1426" s="9">
        <v>23.44</v>
      </c>
      <c r="F1426" s="8" t="s">
        <v>11</v>
      </c>
      <c r="G1426" s="8">
        <v>46.88</v>
      </c>
      <c r="H1426" s="10">
        <f t="shared" si="44"/>
        <v>8</v>
      </c>
      <c r="I1426" s="10">
        <f>YEAR(Sheet1!$A1426)</f>
        <v>2024</v>
      </c>
      <c r="J1426" s="10">
        <f>DAY(Sheet1!$A1426)</f>
        <v>28</v>
      </c>
      <c r="K1426" s="12" t="s">
        <v>2022</v>
      </c>
      <c r="L1426" s="13" t="str">
        <f t="shared" si="45"/>
        <v>Regular Customer</v>
      </c>
    </row>
    <row r="1427" spans="1:12" ht="15.75" customHeight="1" x14ac:dyDescent="0.3">
      <c r="A1427" s="14">
        <v>45464</v>
      </c>
      <c r="B1427" s="15" t="s">
        <v>1994</v>
      </c>
      <c r="C1427" s="15" t="s">
        <v>13</v>
      </c>
      <c r="D1427" s="15" t="s">
        <v>19</v>
      </c>
      <c r="E1427" s="16">
        <v>15.64</v>
      </c>
      <c r="F1427" s="15" t="s">
        <v>10</v>
      </c>
      <c r="G1427" s="15">
        <v>46.92</v>
      </c>
      <c r="H1427" s="17">
        <f t="shared" si="44"/>
        <v>6</v>
      </c>
      <c r="I1427" s="17">
        <f>YEAR(Sheet1!$A1427)</f>
        <v>2024</v>
      </c>
      <c r="J1427" s="17">
        <f>DAY(Sheet1!$A1427)</f>
        <v>21</v>
      </c>
      <c r="K1427" s="18" t="s">
        <v>2023</v>
      </c>
      <c r="L1427" s="19" t="str">
        <f t="shared" si="45"/>
        <v>Regular Customer</v>
      </c>
    </row>
    <row r="1428" spans="1:12" ht="15.75" customHeight="1" x14ac:dyDescent="0.3">
      <c r="A1428" s="7">
        <v>45547</v>
      </c>
      <c r="B1428" s="8" t="s">
        <v>869</v>
      </c>
      <c r="C1428" s="8" t="s">
        <v>24</v>
      </c>
      <c r="D1428" s="8" t="s">
        <v>19</v>
      </c>
      <c r="E1428" s="9">
        <v>15.64</v>
      </c>
      <c r="F1428" s="8" t="s">
        <v>10</v>
      </c>
      <c r="G1428" s="8">
        <v>46.92</v>
      </c>
      <c r="H1428" s="10">
        <f t="shared" si="44"/>
        <v>9</v>
      </c>
      <c r="I1428" s="10">
        <f>YEAR(Sheet1!$A1428)</f>
        <v>2024</v>
      </c>
      <c r="J1428" s="10">
        <f>DAY(Sheet1!$A1428)</f>
        <v>12</v>
      </c>
      <c r="K1428" s="12" t="s">
        <v>2023</v>
      </c>
      <c r="L1428" s="13" t="str">
        <f t="shared" si="45"/>
        <v>Regular Customer</v>
      </c>
    </row>
    <row r="1429" spans="1:12" ht="15.75" customHeight="1" x14ac:dyDescent="0.3">
      <c r="A1429" s="14">
        <v>45461</v>
      </c>
      <c r="B1429" s="15" t="s">
        <v>888</v>
      </c>
      <c r="C1429" s="15" t="s">
        <v>18</v>
      </c>
      <c r="D1429" s="15" t="s">
        <v>9</v>
      </c>
      <c r="E1429" s="16">
        <v>15.69</v>
      </c>
      <c r="F1429" s="15" t="s">
        <v>10</v>
      </c>
      <c r="G1429" s="15">
        <v>47.07</v>
      </c>
      <c r="H1429" s="17">
        <f t="shared" si="44"/>
        <v>6</v>
      </c>
      <c r="I1429" s="17">
        <f>YEAR(Sheet1!$A1429)</f>
        <v>2024</v>
      </c>
      <c r="J1429" s="17">
        <f>DAY(Sheet1!$A1429)</f>
        <v>18</v>
      </c>
      <c r="K1429" s="18" t="s">
        <v>2022</v>
      </c>
      <c r="L1429" s="19" t="str">
        <f t="shared" si="45"/>
        <v>Regular Customer</v>
      </c>
    </row>
    <row r="1430" spans="1:12" ht="15.75" customHeight="1" x14ac:dyDescent="0.3">
      <c r="A1430" s="7">
        <v>45775</v>
      </c>
      <c r="B1430" s="8" t="s">
        <v>541</v>
      </c>
      <c r="C1430" s="8" t="s">
        <v>8</v>
      </c>
      <c r="D1430" s="8" t="s">
        <v>9</v>
      </c>
      <c r="E1430" s="9">
        <v>23.56</v>
      </c>
      <c r="F1430" s="8" t="s">
        <v>11</v>
      </c>
      <c r="G1430" s="8">
        <v>47.12</v>
      </c>
      <c r="H1430" s="10">
        <f t="shared" si="44"/>
        <v>4</v>
      </c>
      <c r="I1430" s="10">
        <f>YEAR(Sheet1!$A1430)</f>
        <v>2025</v>
      </c>
      <c r="J1430" s="10">
        <f>DAY(Sheet1!$A1430)</f>
        <v>28</v>
      </c>
      <c r="K1430" s="12" t="s">
        <v>2023</v>
      </c>
      <c r="L1430" s="13" t="str">
        <f t="shared" si="45"/>
        <v>Regular Customer</v>
      </c>
    </row>
    <row r="1431" spans="1:12" ht="15.75" customHeight="1" x14ac:dyDescent="0.3">
      <c r="A1431" s="14">
        <v>45626</v>
      </c>
      <c r="B1431" s="15" t="s">
        <v>1770</v>
      </c>
      <c r="C1431" s="15" t="s">
        <v>13</v>
      </c>
      <c r="D1431" s="15" t="s">
        <v>14</v>
      </c>
      <c r="E1431" s="16">
        <v>15.72</v>
      </c>
      <c r="F1431" s="15" t="s">
        <v>10</v>
      </c>
      <c r="G1431" s="15">
        <v>47.16</v>
      </c>
      <c r="H1431" s="17">
        <f t="shared" si="44"/>
        <v>11</v>
      </c>
      <c r="I1431" s="17">
        <f>YEAR(Sheet1!$A1431)</f>
        <v>2024</v>
      </c>
      <c r="J1431" s="17">
        <f>DAY(Sheet1!$A1431)</f>
        <v>30</v>
      </c>
      <c r="K1431" s="18" t="s">
        <v>2023</v>
      </c>
      <c r="L1431" s="19" t="str">
        <f t="shared" si="45"/>
        <v>Regular Customer</v>
      </c>
    </row>
    <row r="1432" spans="1:12" ht="15.75" customHeight="1" x14ac:dyDescent="0.3">
      <c r="A1432" s="7">
        <v>45700</v>
      </c>
      <c r="B1432" s="8" t="s">
        <v>1331</v>
      </c>
      <c r="C1432" s="8" t="s">
        <v>8</v>
      </c>
      <c r="D1432" s="8" t="s">
        <v>19</v>
      </c>
      <c r="E1432" s="9">
        <v>23.66</v>
      </c>
      <c r="F1432" s="8" t="s">
        <v>11</v>
      </c>
      <c r="G1432" s="8">
        <v>47.32</v>
      </c>
      <c r="H1432" s="10">
        <f t="shared" si="44"/>
        <v>2</v>
      </c>
      <c r="I1432" s="10">
        <f>YEAR(Sheet1!$A1432)</f>
        <v>2025</v>
      </c>
      <c r="J1432" s="10">
        <f>DAY(Sheet1!$A1432)</f>
        <v>12</v>
      </c>
      <c r="K1432" s="12" t="s">
        <v>2023</v>
      </c>
      <c r="L1432" s="13" t="str">
        <f t="shared" si="45"/>
        <v>Regular Customer</v>
      </c>
    </row>
    <row r="1433" spans="1:12" ht="15.75" customHeight="1" x14ac:dyDescent="0.3">
      <c r="A1433" s="14">
        <v>45756</v>
      </c>
      <c r="B1433" s="15" t="s">
        <v>1348</v>
      </c>
      <c r="C1433" s="15" t="s">
        <v>13</v>
      </c>
      <c r="D1433" s="15" t="s">
        <v>14</v>
      </c>
      <c r="E1433" s="16">
        <v>23.66</v>
      </c>
      <c r="F1433" s="15" t="s">
        <v>10</v>
      </c>
      <c r="G1433" s="15">
        <v>47.32</v>
      </c>
      <c r="H1433" s="17">
        <f t="shared" si="44"/>
        <v>4</v>
      </c>
      <c r="I1433" s="17">
        <f>YEAR(Sheet1!$A1433)</f>
        <v>2025</v>
      </c>
      <c r="J1433" s="17">
        <f>DAY(Sheet1!$A1433)</f>
        <v>9</v>
      </c>
      <c r="K1433" s="18" t="s">
        <v>2022</v>
      </c>
      <c r="L1433" s="19" t="str">
        <f t="shared" si="45"/>
        <v>Regular Customer</v>
      </c>
    </row>
    <row r="1434" spans="1:12" ht="15.75" customHeight="1" x14ac:dyDescent="0.3">
      <c r="A1434" s="7">
        <v>45608</v>
      </c>
      <c r="B1434" s="8" t="s">
        <v>911</v>
      </c>
      <c r="C1434" s="8" t="s">
        <v>24</v>
      </c>
      <c r="D1434" s="8" t="s">
        <v>14</v>
      </c>
      <c r="E1434" s="9">
        <v>23.69</v>
      </c>
      <c r="F1434" s="8" t="s">
        <v>11</v>
      </c>
      <c r="G1434" s="8">
        <v>47.38</v>
      </c>
      <c r="H1434" s="10">
        <f t="shared" si="44"/>
        <v>11</v>
      </c>
      <c r="I1434" s="10">
        <f>YEAR(Sheet1!$A1434)</f>
        <v>2024</v>
      </c>
      <c r="J1434" s="10">
        <f>DAY(Sheet1!$A1434)</f>
        <v>12</v>
      </c>
      <c r="K1434" s="12" t="s">
        <v>2023</v>
      </c>
      <c r="L1434" s="13" t="str">
        <f t="shared" si="45"/>
        <v>Regular Customer</v>
      </c>
    </row>
    <row r="1435" spans="1:12" ht="15.75" customHeight="1" x14ac:dyDescent="0.3">
      <c r="A1435" s="14">
        <v>45770</v>
      </c>
      <c r="B1435" s="15" t="s">
        <v>1186</v>
      </c>
      <c r="C1435" s="15" t="s">
        <v>24</v>
      </c>
      <c r="D1435" s="15" t="s">
        <v>16</v>
      </c>
      <c r="E1435" s="16">
        <v>15.8</v>
      </c>
      <c r="F1435" s="15" t="s">
        <v>11</v>
      </c>
      <c r="G1435" s="15">
        <v>47.4</v>
      </c>
      <c r="H1435" s="17">
        <f t="shared" si="44"/>
        <v>4</v>
      </c>
      <c r="I1435" s="17">
        <f>YEAR(Sheet1!$A1435)</f>
        <v>2025</v>
      </c>
      <c r="J1435" s="17">
        <f>DAY(Sheet1!$A1435)</f>
        <v>23</v>
      </c>
      <c r="K1435" s="18" t="s">
        <v>2023</v>
      </c>
      <c r="L1435" s="19" t="str">
        <f t="shared" si="45"/>
        <v>Regular Customer</v>
      </c>
    </row>
    <row r="1436" spans="1:12" ht="15.75" customHeight="1" x14ac:dyDescent="0.3">
      <c r="A1436" s="7">
        <v>45463</v>
      </c>
      <c r="B1436" s="8" t="s">
        <v>741</v>
      </c>
      <c r="C1436" s="8" t="s">
        <v>18</v>
      </c>
      <c r="D1436" s="8" t="s">
        <v>9</v>
      </c>
      <c r="E1436" s="9">
        <v>15.83</v>
      </c>
      <c r="F1436" s="8" t="s">
        <v>11</v>
      </c>
      <c r="G1436" s="8">
        <v>47.49</v>
      </c>
      <c r="H1436" s="10">
        <f t="shared" si="44"/>
        <v>6</v>
      </c>
      <c r="I1436" s="10">
        <f>YEAR(Sheet1!$A1436)</f>
        <v>2024</v>
      </c>
      <c r="J1436" s="10">
        <f>DAY(Sheet1!$A1436)</f>
        <v>20</v>
      </c>
      <c r="K1436" s="12" t="s">
        <v>2023</v>
      </c>
      <c r="L1436" s="13" t="str">
        <f t="shared" si="45"/>
        <v>Regular Customer</v>
      </c>
    </row>
    <row r="1437" spans="1:12" ht="15.75" customHeight="1" x14ac:dyDescent="0.3">
      <c r="A1437" s="14">
        <v>45498</v>
      </c>
      <c r="B1437" s="15" t="s">
        <v>1677</v>
      </c>
      <c r="C1437" s="15" t="s">
        <v>18</v>
      </c>
      <c r="D1437" s="15" t="s">
        <v>19</v>
      </c>
      <c r="E1437" s="16">
        <v>15.83</v>
      </c>
      <c r="F1437" s="15" t="s">
        <v>11</v>
      </c>
      <c r="G1437" s="15">
        <v>47.49</v>
      </c>
      <c r="H1437" s="17">
        <f t="shared" si="44"/>
        <v>7</v>
      </c>
      <c r="I1437" s="17">
        <f>YEAR(Sheet1!$A1437)</f>
        <v>2024</v>
      </c>
      <c r="J1437" s="17">
        <f>DAY(Sheet1!$A1437)</f>
        <v>25</v>
      </c>
      <c r="K1437" s="18" t="s">
        <v>2022</v>
      </c>
      <c r="L1437" s="19" t="str">
        <f t="shared" si="45"/>
        <v>Regular Customer</v>
      </c>
    </row>
    <row r="1438" spans="1:12" ht="15.75" customHeight="1" x14ac:dyDescent="0.3">
      <c r="A1438" s="7">
        <v>45687</v>
      </c>
      <c r="B1438" s="8" t="s">
        <v>29</v>
      </c>
      <c r="C1438" s="8" t="s">
        <v>18</v>
      </c>
      <c r="D1438" s="8" t="s">
        <v>14</v>
      </c>
      <c r="E1438" s="9">
        <v>23.75</v>
      </c>
      <c r="F1438" s="8" t="s">
        <v>10</v>
      </c>
      <c r="G1438" s="8">
        <v>47.5</v>
      </c>
      <c r="H1438" s="10">
        <f t="shared" si="44"/>
        <v>1</v>
      </c>
      <c r="I1438" s="10">
        <f>YEAR(Sheet1!$A1438)</f>
        <v>2025</v>
      </c>
      <c r="J1438" s="10">
        <f>DAY(Sheet1!$A1438)</f>
        <v>30</v>
      </c>
      <c r="K1438" s="12" t="s">
        <v>2022</v>
      </c>
      <c r="L1438" s="13" t="str">
        <f t="shared" si="45"/>
        <v>Regular Customer</v>
      </c>
    </row>
    <row r="1439" spans="1:12" ht="15.75" customHeight="1" x14ac:dyDescent="0.3">
      <c r="A1439" s="14">
        <v>45671</v>
      </c>
      <c r="B1439" s="15" t="s">
        <v>1767</v>
      </c>
      <c r="C1439" s="15" t="s">
        <v>24</v>
      </c>
      <c r="D1439" s="15" t="s">
        <v>19</v>
      </c>
      <c r="E1439" s="16">
        <v>15.86</v>
      </c>
      <c r="F1439" s="15" t="s">
        <v>11</v>
      </c>
      <c r="G1439" s="15">
        <v>47.58</v>
      </c>
      <c r="H1439" s="17">
        <f t="shared" si="44"/>
        <v>1</v>
      </c>
      <c r="I1439" s="17">
        <f>YEAR(Sheet1!$A1439)</f>
        <v>2025</v>
      </c>
      <c r="J1439" s="17">
        <f>DAY(Sheet1!$A1439)</f>
        <v>14</v>
      </c>
      <c r="K1439" s="18" t="s">
        <v>2022</v>
      </c>
      <c r="L1439" s="19" t="str">
        <f t="shared" si="45"/>
        <v>Regular Customer</v>
      </c>
    </row>
    <row r="1440" spans="1:12" ht="15.75" customHeight="1" x14ac:dyDescent="0.3">
      <c r="A1440" s="7">
        <v>45415</v>
      </c>
      <c r="B1440" s="8" t="s">
        <v>1698</v>
      </c>
      <c r="C1440" s="8" t="s">
        <v>18</v>
      </c>
      <c r="D1440" s="8" t="s">
        <v>9</v>
      </c>
      <c r="E1440" s="9">
        <v>23.82</v>
      </c>
      <c r="F1440" s="8" t="s">
        <v>10</v>
      </c>
      <c r="G1440" s="8">
        <v>47.64</v>
      </c>
      <c r="H1440" s="10">
        <f t="shared" si="44"/>
        <v>5</v>
      </c>
      <c r="I1440" s="10">
        <f>YEAR(Sheet1!$A1440)</f>
        <v>2024</v>
      </c>
      <c r="J1440" s="10">
        <f>DAY(Sheet1!$A1440)</f>
        <v>3</v>
      </c>
      <c r="K1440" s="12" t="s">
        <v>2023</v>
      </c>
      <c r="L1440" s="13" t="str">
        <f t="shared" si="45"/>
        <v>Regular Customer</v>
      </c>
    </row>
    <row r="1441" spans="1:12" ht="15.75" customHeight="1" x14ac:dyDescent="0.3">
      <c r="A1441" s="14">
        <v>45758</v>
      </c>
      <c r="B1441" s="15" t="s">
        <v>1485</v>
      </c>
      <c r="C1441" s="15" t="s">
        <v>8</v>
      </c>
      <c r="D1441" s="15" t="s">
        <v>19</v>
      </c>
      <c r="E1441" s="16">
        <v>23.82</v>
      </c>
      <c r="F1441" s="15" t="s">
        <v>10</v>
      </c>
      <c r="G1441" s="15">
        <v>47.64</v>
      </c>
      <c r="H1441" s="17">
        <f t="shared" si="44"/>
        <v>4</v>
      </c>
      <c r="I1441" s="17">
        <f>YEAR(Sheet1!$A1441)</f>
        <v>2025</v>
      </c>
      <c r="J1441" s="17">
        <f>DAY(Sheet1!$A1441)</f>
        <v>11</v>
      </c>
      <c r="K1441" s="18" t="s">
        <v>2023</v>
      </c>
      <c r="L1441" s="19" t="str">
        <f t="shared" si="45"/>
        <v>Regular Customer</v>
      </c>
    </row>
    <row r="1442" spans="1:12" ht="15.75" customHeight="1" x14ac:dyDescent="0.3">
      <c r="A1442" s="7">
        <v>45583</v>
      </c>
      <c r="B1442" s="8" t="s">
        <v>1763</v>
      </c>
      <c r="C1442" s="8" t="s">
        <v>18</v>
      </c>
      <c r="D1442" s="8" t="s">
        <v>14</v>
      </c>
      <c r="E1442" s="9">
        <v>15.89</v>
      </c>
      <c r="F1442" s="8" t="s">
        <v>10</v>
      </c>
      <c r="G1442" s="8">
        <v>47.67</v>
      </c>
      <c r="H1442" s="10">
        <f t="shared" si="44"/>
        <v>10</v>
      </c>
      <c r="I1442" s="10">
        <f>YEAR(Sheet1!$A1442)</f>
        <v>2024</v>
      </c>
      <c r="J1442" s="10">
        <f>DAY(Sheet1!$A1442)</f>
        <v>18</v>
      </c>
      <c r="K1442" s="12" t="s">
        <v>2023</v>
      </c>
      <c r="L1442" s="13" t="str">
        <f t="shared" si="45"/>
        <v>Regular Customer</v>
      </c>
    </row>
    <row r="1443" spans="1:12" ht="15.75" customHeight="1" x14ac:dyDescent="0.3">
      <c r="A1443" s="14">
        <v>45601</v>
      </c>
      <c r="B1443" s="15" t="s">
        <v>1222</v>
      </c>
      <c r="C1443" s="15" t="s">
        <v>18</v>
      </c>
      <c r="D1443" s="15" t="s">
        <v>9</v>
      </c>
      <c r="E1443" s="16">
        <v>23.85</v>
      </c>
      <c r="F1443" s="15" t="s">
        <v>10</v>
      </c>
      <c r="G1443" s="15">
        <v>47.7</v>
      </c>
      <c r="H1443" s="17">
        <f t="shared" si="44"/>
        <v>11</v>
      </c>
      <c r="I1443" s="17">
        <f>YEAR(Sheet1!$A1443)</f>
        <v>2024</v>
      </c>
      <c r="J1443" s="17">
        <f>DAY(Sheet1!$A1443)</f>
        <v>5</v>
      </c>
      <c r="K1443" s="18" t="s">
        <v>2022</v>
      </c>
      <c r="L1443" s="19" t="str">
        <f t="shared" si="45"/>
        <v>Regular Customer</v>
      </c>
    </row>
    <row r="1444" spans="1:12" ht="15.75" customHeight="1" x14ac:dyDescent="0.3">
      <c r="A1444" s="7">
        <v>45760</v>
      </c>
      <c r="B1444" s="8" t="s">
        <v>1153</v>
      </c>
      <c r="C1444" s="8" t="s">
        <v>18</v>
      </c>
      <c r="D1444" s="8" t="s">
        <v>19</v>
      </c>
      <c r="E1444" s="9">
        <v>23.87</v>
      </c>
      <c r="F1444" s="8" t="s">
        <v>10</v>
      </c>
      <c r="G1444" s="8">
        <v>47.74</v>
      </c>
      <c r="H1444" s="10">
        <f t="shared" si="44"/>
        <v>4</v>
      </c>
      <c r="I1444" s="10">
        <f>YEAR(Sheet1!$A1444)</f>
        <v>2025</v>
      </c>
      <c r="J1444" s="10">
        <f>DAY(Sheet1!$A1444)</f>
        <v>13</v>
      </c>
      <c r="K1444" s="12" t="s">
        <v>2023</v>
      </c>
      <c r="L1444" s="13" t="str">
        <f t="shared" si="45"/>
        <v>Regular Customer</v>
      </c>
    </row>
    <row r="1445" spans="1:12" ht="15.75" customHeight="1" x14ac:dyDescent="0.3">
      <c r="A1445" s="14">
        <v>45747</v>
      </c>
      <c r="B1445" s="15" t="s">
        <v>504</v>
      </c>
      <c r="C1445" s="15" t="s">
        <v>13</v>
      </c>
      <c r="D1445" s="15" t="s">
        <v>19</v>
      </c>
      <c r="E1445" s="16">
        <v>15.92</v>
      </c>
      <c r="F1445" s="15" t="s">
        <v>10</v>
      </c>
      <c r="G1445" s="15">
        <v>47.76</v>
      </c>
      <c r="H1445" s="17">
        <f t="shared" si="44"/>
        <v>3</v>
      </c>
      <c r="I1445" s="17">
        <f>YEAR(Sheet1!$A1445)</f>
        <v>2025</v>
      </c>
      <c r="J1445" s="17">
        <f>DAY(Sheet1!$A1445)</f>
        <v>31</v>
      </c>
      <c r="K1445" s="18" t="s">
        <v>2023</v>
      </c>
      <c r="L1445" s="19" t="str">
        <f t="shared" si="45"/>
        <v>Regular Customer</v>
      </c>
    </row>
    <row r="1446" spans="1:12" ht="15.75" customHeight="1" x14ac:dyDescent="0.3">
      <c r="A1446" s="7">
        <v>45633</v>
      </c>
      <c r="B1446" s="8" t="s">
        <v>1420</v>
      </c>
      <c r="C1446" s="8" t="s">
        <v>13</v>
      </c>
      <c r="D1446" s="8" t="s">
        <v>19</v>
      </c>
      <c r="E1446" s="9">
        <v>15.93</v>
      </c>
      <c r="F1446" s="8" t="s">
        <v>10</v>
      </c>
      <c r="G1446" s="8">
        <v>47.79</v>
      </c>
      <c r="H1446" s="10">
        <f t="shared" si="44"/>
        <v>12</v>
      </c>
      <c r="I1446" s="10">
        <f>YEAR(Sheet1!$A1446)</f>
        <v>2024</v>
      </c>
      <c r="J1446" s="10">
        <f>DAY(Sheet1!$A1446)</f>
        <v>7</v>
      </c>
      <c r="K1446" s="12" t="s">
        <v>2022</v>
      </c>
      <c r="L1446" s="13" t="str">
        <f t="shared" si="45"/>
        <v>Regular Customer</v>
      </c>
    </row>
    <row r="1447" spans="1:12" ht="15.75" customHeight="1" x14ac:dyDescent="0.3">
      <c r="A1447" s="14">
        <v>45502</v>
      </c>
      <c r="B1447" s="15" t="s">
        <v>115</v>
      </c>
      <c r="C1447" s="15" t="s">
        <v>18</v>
      </c>
      <c r="D1447" s="15" t="s">
        <v>14</v>
      </c>
      <c r="E1447" s="16">
        <v>23.94</v>
      </c>
      <c r="F1447" s="15" t="s">
        <v>11</v>
      </c>
      <c r="G1447" s="15">
        <v>47.88</v>
      </c>
      <c r="H1447" s="17">
        <f t="shared" si="44"/>
        <v>7</v>
      </c>
      <c r="I1447" s="17">
        <f>YEAR(Sheet1!$A1447)</f>
        <v>2024</v>
      </c>
      <c r="J1447" s="17">
        <f>DAY(Sheet1!$A1447)</f>
        <v>29</v>
      </c>
      <c r="K1447" s="18" t="s">
        <v>2022</v>
      </c>
      <c r="L1447" s="19" t="str">
        <f t="shared" si="45"/>
        <v>Regular Customer</v>
      </c>
    </row>
    <row r="1448" spans="1:12" ht="15.75" customHeight="1" x14ac:dyDescent="0.3">
      <c r="A1448" s="7">
        <v>45676</v>
      </c>
      <c r="B1448" s="8" t="s">
        <v>1170</v>
      </c>
      <c r="C1448" s="8" t="s">
        <v>18</v>
      </c>
      <c r="D1448" s="8" t="s">
        <v>9</v>
      </c>
      <c r="E1448" s="9">
        <v>15.97</v>
      </c>
      <c r="F1448" s="8" t="s">
        <v>11</v>
      </c>
      <c r="G1448" s="8">
        <v>47.91</v>
      </c>
      <c r="H1448" s="10">
        <f t="shared" si="44"/>
        <v>1</v>
      </c>
      <c r="I1448" s="10">
        <f>YEAR(Sheet1!$A1448)</f>
        <v>2025</v>
      </c>
      <c r="J1448" s="10">
        <f>DAY(Sheet1!$A1448)</f>
        <v>19</v>
      </c>
      <c r="K1448" s="12" t="s">
        <v>2023</v>
      </c>
      <c r="L1448" s="13" t="str">
        <f t="shared" si="45"/>
        <v>Regular Customer</v>
      </c>
    </row>
    <row r="1449" spans="1:12" ht="15.75" customHeight="1" x14ac:dyDescent="0.3">
      <c r="A1449" s="14">
        <v>45476</v>
      </c>
      <c r="B1449" s="15" t="s">
        <v>1556</v>
      </c>
      <c r="C1449" s="15" t="s">
        <v>8</v>
      </c>
      <c r="D1449" s="15" t="s">
        <v>14</v>
      </c>
      <c r="E1449" s="16">
        <v>23.97</v>
      </c>
      <c r="F1449" s="15" t="s">
        <v>10</v>
      </c>
      <c r="G1449" s="15">
        <v>47.94</v>
      </c>
      <c r="H1449" s="17">
        <f t="shared" si="44"/>
        <v>7</v>
      </c>
      <c r="I1449" s="17">
        <f>YEAR(Sheet1!$A1449)</f>
        <v>2024</v>
      </c>
      <c r="J1449" s="17">
        <f>DAY(Sheet1!$A1449)</f>
        <v>3</v>
      </c>
      <c r="K1449" s="18" t="s">
        <v>2022</v>
      </c>
      <c r="L1449" s="19" t="str">
        <f t="shared" si="45"/>
        <v>Regular Customer</v>
      </c>
    </row>
    <row r="1450" spans="1:12" ht="15.75" customHeight="1" x14ac:dyDescent="0.3">
      <c r="A1450" s="7">
        <v>45650</v>
      </c>
      <c r="B1450" s="8" t="s">
        <v>941</v>
      </c>
      <c r="C1450" s="8" t="s">
        <v>24</v>
      </c>
      <c r="D1450" s="8" t="s">
        <v>9</v>
      </c>
      <c r="E1450" s="9">
        <v>24.03</v>
      </c>
      <c r="F1450" s="8" t="s">
        <v>10</v>
      </c>
      <c r="G1450" s="8">
        <v>48.06</v>
      </c>
      <c r="H1450" s="10">
        <f t="shared" si="44"/>
        <v>12</v>
      </c>
      <c r="I1450" s="10">
        <f>YEAR(Sheet1!$A1450)</f>
        <v>2024</v>
      </c>
      <c r="J1450" s="10">
        <f>DAY(Sheet1!$A1450)</f>
        <v>24</v>
      </c>
      <c r="K1450" s="12" t="s">
        <v>2022</v>
      </c>
      <c r="L1450" s="13" t="str">
        <f t="shared" si="45"/>
        <v>Regular Customer</v>
      </c>
    </row>
    <row r="1451" spans="1:12" ht="15.75" customHeight="1" x14ac:dyDescent="0.3">
      <c r="A1451" s="14">
        <v>45418</v>
      </c>
      <c r="B1451" s="15" t="s">
        <v>1974</v>
      </c>
      <c r="C1451" s="15" t="s">
        <v>8</v>
      </c>
      <c r="D1451" s="15" t="s">
        <v>14</v>
      </c>
      <c r="E1451" s="16">
        <v>24.12</v>
      </c>
      <c r="F1451" s="15" t="s">
        <v>11</v>
      </c>
      <c r="G1451" s="15">
        <v>48.24</v>
      </c>
      <c r="H1451" s="17">
        <f t="shared" si="44"/>
        <v>5</v>
      </c>
      <c r="I1451" s="17">
        <f>YEAR(Sheet1!$A1451)</f>
        <v>2024</v>
      </c>
      <c r="J1451" s="17">
        <f>DAY(Sheet1!$A1451)</f>
        <v>6</v>
      </c>
      <c r="K1451" s="18" t="s">
        <v>2023</v>
      </c>
      <c r="L1451" s="19" t="str">
        <f t="shared" si="45"/>
        <v>Regular Customer</v>
      </c>
    </row>
    <row r="1452" spans="1:12" ht="15.75" customHeight="1" x14ac:dyDescent="0.3">
      <c r="A1452" s="7">
        <v>45454</v>
      </c>
      <c r="B1452" s="8" t="s">
        <v>531</v>
      </c>
      <c r="C1452" s="8" t="s">
        <v>18</v>
      </c>
      <c r="D1452" s="8" t="s">
        <v>14</v>
      </c>
      <c r="E1452" s="9">
        <v>24.13</v>
      </c>
      <c r="F1452" s="8" t="s">
        <v>10</v>
      </c>
      <c r="G1452" s="8">
        <v>48.26</v>
      </c>
      <c r="H1452" s="10">
        <f t="shared" si="44"/>
        <v>6</v>
      </c>
      <c r="I1452" s="10">
        <f>YEAR(Sheet1!$A1452)</f>
        <v>2024</v>
      </c>
      <c r="J1452" s="10">
        <f>DAY(Sheet1!$A1452)</f>
        <v>11</v>
      </c>
      <c r="K1452" s="12" t="s">
        <v>2023</v>
      </c>
      <c r="L1452" s="13" t="str">
        <f t="shared" si="45"/>
        <v>Regular Customer</v>
      </c>
    </row>
    <row r="1453" spans="1:12" ht="15.75" customHeight="1" x14ac:dyDescent="0.3">
      <c r="A1453" s="14">
        <v>45428</v>
      </c>
      <c r="B1453" s="15" t="s">
        <v>1330</v>
      </c>
      <c r="C1453" s="15" t="s">
        <v>13</v>
      </c>
      <c r="D1453" s="15" t="s">
        <v>16</v>
      </c>
      <c r="E1453" s="16">
        <v>16.100000000000001</v>
      </c>
      <c r="F1453" s="15" t="s">
        <v>11</v>
      </c>
      <c r="G1453" s="15">
        <v>48.3</v>
      </c>
      <c r="H1453" s="17">
        <f t="shared" si="44"/>
        <v>5</v>
      </c>
      <c r="I1453" s="17">
        <f>YEAR(Sheet1!$A1453)</f>
        <v>2024</v>
      </c>
      <c r="J1453" s="17">
        <f>DAY(Sheet1!$A1453)</f>
        <v>16</v>
      </c>
      <c r="K1453" s="18" t="s">
        <v>2023</v>
      </c>
      <c r="L1453" s="19" t="str">
        <f t="shared" si="45"/>
        <v>Regular Customer</v>
      </c>
    </row>
    <row r="1454" spans="1:12" ht="15.75" customHeight="1" x14ac:dyDescent="0.3">
      <c r="A1454" s="7">
        <v>45655</v>
      </c>
      <c r="B1454" s="8" t="s">
        <v>1683</v>
      </c>
      <c r="C1454" s="8" t="s">
        <v>24</v>
      </c>
      <c r="D1454" s="8" t="s">
        <v>9</v>
      </c>
      <c r="E1454" s="9">
        <v>24.16</v>
      </c>
      <c r="F1454" s="8" t="s">
        <v>10</v>
      </c>
      <c r="G1454" s="8">
        <v>48.32</v>
      </c>
      <c r="H1454" s="10">
        <f t="shared" si="44"/>
        <v>12</v>
      </c>
      <c r="I1454" s="10">
        <f>YEAR(Sheet1!$A1454)</f>
        <v>2024</v>
      </c>
      <c r="J1454" s="10">
        <f>DAY(Sheet1!$A1454)</f>
        <v>29</v>
      </c>
      <c r="K1454" s="12" t="s">
        <v>2022</v>
      </c>
      <c r="L1454" s="13" t="str">
        <f t="shared" si="45"/>
        <v>Regular Customer</v>
      </c>
    </row>
    <row r="1455" spans="1:12" ht="15.75" customHeight="1" x14ac:dyDescent="0.3">
      <c r="A1455" s="14">
        <v>45517</v>
      </c>
      <c r="B1455" s="15" t="s">
        <v>1210</v>
      </c>
      <c r="C1455" s="15" t="s">
        <v>24</v>
      </c>
      <c r="D1455" s="15" t="s">
        <v>14</v>
      </c>
      <c r="E1455" s="16">
        <v>16.11</v>
      </c>
      <c r="F1455" s="15" t="s">
        <v>11</v>
      </c>
      <c r="G1455" s="15">
        <v>48.33</v>
      </c>
      <c r="H1455" s="17">
        <f t="shared" si="44"/>
        <v>8</v>
      </c>
      <c r="I1455" s="17">
        <f>YEAR(Sheet1!$A1455)</f>
        <v>2024</v>
      </c>
      <c r="J1455" s="17">
        <f>DAY(Sheet1!$A1455)</f>
        <v>13</v>
      </c>
      <c r="K1455" s="18" t="s">
        <v>2023</v>
      </c>
      <c r="L1455" s="19" t="str">
        <f t="shared" si="45"/>
        <v>Regular Customer</v>
      </c>
    </row>
    <row r="1456" spans="1:12" ht="15.75" customHeight="1" x14ac:dyDescent="0.3">
      <c r="A1456" s="7">
        <v>45737</v>
      </c>
      <c r="B1456" s="8" t="s">
        <v>1944</v>
      </c>
      <c r="C1456" s="8" t="s">
        <v>13</v>
      </c>
      <c r="D1456" s="8" t="s">
        <v>19</v>
      </c>
      <c r="E1456" s="9">
        <v>16.21</v>
      </c>
      <c r="F1456" s="8" t="s">
        <v>10</v>
      </c>
      <c r="G1456" s="8">
        <v>48.63</v>
      </c>
      <c r="H1456" s="10">
        <f t="shared" si="44"/>
        <v>3</v>
      </c>
      <c r="I1456" s="10">
        <f>YEAR(Sheet1!$A1456)</f>
        <v>2025</v>
      </c>
      <c r="J1456" s="10">
        <f>DAY(Sheet1!$A1456)</f>
        <v>21</v>
      </c>
      <c r="K1456" s="12" t="s">
        <v>2022</v>
      </c>
      <c r="L1456" s="13" t="str">
        <f t="shared" si="45"/>
        <v>Regular Customer</v>
      </c>
    </row>
    <row r="1457" spans="1:12" ht="15.75" customHeight="1" x14ac:dyDescent="0.3">
      <c r="A1457" s="14">
        <v>45713</v>
      </c>
      <c r="B1457" s="15" t="s">
        <v>1346</v>
      </c>
      <c r="C1457" s="15" t="s">
        <v>24</v>
      </c>
      <c r="D1457" s="15" t="s">
        <v>9</v>
      </c>
      <c r="E1457" s="16">
        <v>24.35</v>
      </c>
      <c r="F1457" s="15" t="s">
        <v>10</v>
      </c>
      <c r="G1457" s="15">
        <v>48.7</v>
      </c>
      <c r="H1457" s="17">
        <f t="shared" si="44"/>
        <v>2</v>
      </c>
      <c r="I1457" s="17">
        <f>YEAR(Sheet1!$A1457)</f>
        <v>2025</v>
      </c>
      <c r="J1457" s="17">
        <f>DAY(Sheet1!$A1457)</f>
        <v>25</v>
      </c>
      <c r="K1457" s="18" t="s">
        <v>2022</v>
      </c>
      <c r="L1457" s="19" t="str">
        <f t="shared" si="45"/>
        <v>Regular Customer</v>
      </c>
    </row>
    <row r="1458" spans="1:12" ht="15.75" customHeight="1" x14ac:dyDescent="0.3">
      <c r="A1458" s="7">
        <v>45508</v>
      </c>
      <c r="B1458" s="8" t="s">
        <v>1372</v>
      </c>
      <c r="C1458" s="8" t="s">
        <v>13</v>
      </c>
      <c r="D1458" s="8" t="s">
        <v>19</v>
      </c>
      <c r="E1458" s="9">
        <v>16.25</v>
      </c>
      <c r="F1458" s="8" t="s">
        <v>10</v>
      </c>
      <c r="G1458" s="8">
        <v>48.75</v>
      </c>
      <c r="H1458" s="10">
        <f t="shared" si="44"/>
        <v>8</v>
      </c>
      <c r="I1458" s="10">
        <f>YEAR(Sheet1!$A1458)</f>
        <v>2024</v>
      </c>
      <c r="J1458" s="10">
        <f>DAY(Sheet1!$A1458)</f>
        <v>4</v>
      </c>
      <c r="K1458" s="12" t="s">
        <v>2023</v>
      </c>
      <c r="L1458" s="13" t="str">
        <f t="shared" si="45"/>
        <v>Regular Customer</v>
      </c>
    </row>
    <row r="1459" spans="1:12" ht="15.75" customHeight="1" x14ac:dyDescent="0.3">
      <c r="A1459" s="14">
        <v>45715</v>
      </c>
      <c r="B1459" s="15" t="s">
        <v>1928</v>
      </c>
      <c r="C1459" s="15" t="s">
        <v>24</v>
      </c>
      <c r="D1459" s="15" t="s">
        <v>9</v>
      </c>
      <c r="E1459" s="16">
        <v>16.25</v>
      </c>
      <c r="F1459" s="15" t="s">
        <v>10</v>
      </c>
      <c r="G1459" s="15">
        <v>48.75</v>
      </c>
      <c r="H1459" s="17">
        <f t="shared" si="44"/>
        <v>2</v>
      </c>
      <c r="I1459" s="17">
        <f>YEAR(Sheet1!$A1459)</f>
        <v>2025</v>
      </c>
      <c r="J1459" s="17">
        <f>DAY(Sheet1!$A1459)</f>
        <v>27</v>
      </c>
      <c r="K1459" s="18" t="s">
        <v>2022</v>
      </c>
      <c r="L1459" s="19" t="str">
        <f t="shared" si="45"/>
        <v>Regular Customer</v>
      </c>
    </row>
    <row r="1460" spans="1:12" ht="15.75" customHeight="1" x14ac:dyDescent="0.3">
      <c r="A1460" s="7">
        <v>45496</v>
      </c>
      <c r="B1460" s="8" t="s">
        <v>66</v>
      </c>
      <c r="C1460" s="8" t="s">
        <v>18</v>
      </c>
      <c r="D1460" s="8" t="s">
        <v>19</v>
      </c>
      <c r="E1460" s="9">
        <v>16.27</v>
      </c>
      <c r="F1460" s="8" t="s">
        <v>10</v>
      </c>
      <c r="G1460" s="8">
        <v>48.81</v>
      </c>
      <c r="H1460" s="10">
        <f t="shared" si="44"/>
        <v>7</v>
      </c>
      <c r="I1460" s="10">
        <f>YEAR(Sheet1!$A1460)</f>
        <v>2024</v>
      </c>
      <c r="J1460" s="10">
        <f>DAY(Sheet1!$A1460)</f>
        <v>23</v>
      </c>
      <c r="K1460" s="12" t="s">
        <v>2022</v>
      </c>
      <c r="L1460" s="13" t="str">
        <f t="shared" si="45"/>
        <v>Regular Customer</v>
      </c>
    </row>
    <row r="1461" spans="1:12" ht="15.75" customHeight="1" x14ac:dyDescent="0.3">
      <c r="A1461" s="14">
        <v>45450</v>
      </c>
      <c r="B1461" s="15" t="s">
        <v>1416</v>
      </c>
      <c r="C1461" s="15" t="s">
        <v>18</v>
      </c>
      <c r="D1461" s="15" t="s">
        <v>19</v>
      </c>
      <c r="E1461" s="16">
        <v>24.41</v>
      </c>
      <c r="F1461" s="15" t="s">
        <v>10</v>
      </c>
      <c r="G1461" s="15">
        <v>48.82</v>
      </c>
      <c r="H1461" s="17">
        <f t="shared" si="44"/>
        <v>6</v>
      </c>
      <c r="I1461" s="17">
        <f>YEAR(Sheet1!$A1461)</f>
        <v>2024</v>
      </c>
      <c r="J1461" s="17">
        <f>DAY(Sheet1!$A1461)</f>
        <v>7</v>
      </c>
      <c r="K1461" s="18" t="s">
        <v>2023</v>
      </c>
      <c r="L1461" s="19" t="str">
        <f t="shared" si="45"/>
        <v>Regular Customer</v>
      </c>
    </row>
    <row r="1462" spans="1:12" ht="15.75" customHeight="1" x14ac:dyDescent="0.3">
      <c r="A1462" s="7">
        <v>45497</v>
      </c>
      <c r="B1462" s="8" t="s">
        <v>578</v>
      </c>
      <c r="C1462" s="8" t="s">
        <v>18</v>
      </c>
      <c r="D1462" s="8" t="s">
        <v>16</v>
      </c>
      <c r="E1462" s="9">
        <v>24.41</v>
      </c>
      <c r="F1462" s="8" t="s">
        <v>11</v>
      </c>
      <c r="G1462" s="8">
        <v>48.82</v>
      </c>
      <c r="H1462" s="10">
        <f t="shared" si="44"/>
        <v>7</v>
      </c>
      <c r="I1462" s="10">
        <f>YEAR(Sheet1!$A1462)</f>
        <v>2024</v>
      </c>
      <c r="J1462" s="10">
        <f>DAY(Sheet1!$A1462)</f>
        <v>24</v>
      </c>
      <c r="K1462" s="12" t="s">
        <v>2023</v>
      </c>
      <c r="L1462" s="13" t="str">
        <f t="shared" si="45"/>
        <v>Regular Customer</v>
      </c>
    </row>
    <row r="1463" spans="1:12" ht="15.75" customHeight="1" x14ac:dyDescent="0.3">
      <c r="A1463" s="14">
        <v>45636</v>
      </c>
      <c r="B1463" s="15" t="s">
        <v>812</v>
      </c>
      <c r="C1463" s="15" t="s">
        <v>8</v>
      </c>
      <c r="D1463" s="15" t="s">
        <v>14</v>
      </c>
      <c r="E1463" s="16">
        <v>16.28</v>
      </c>
      <c r="F1463" s="15" t="s">
        <v>11</v>
      </c>
      <c r="G1463" s="15">
        <v>48.84</v>
      </c>
      <c r="H1463" s="17">
        <f t="shared" si="44"/>
        <v>12</v>
      </c>
      <c r="I1463" s="17">
        <f>YEAR(Sheet1!$A1463)</f>
        <v>2024</v>
      </c>
      <c r="J1463" s="17">
        <f>DAY(Sheet1!$A1463)</f>
        <v>10</v>
      </c>
      <c r="K1463" s="18" t="s">
        <v>2023</v>
      </c>
      <c r="L1463" s="19" t="str">
        <f t="shared" si="45"/>
        <v>Regular Customer</v>
      </c>
    </row>
    <row r="1464" spans="1:12" ht="15.75" customHeight="1" x14ac:dyDescent="0.3">
      <c r="A1464" s="7">
        <v>45413</v>
      </c>
      <c r="B1464" s="8" t="s">
        <v>1130</v>
      </c>
      <c r="C1464" s="8" t="s">
        <v>8</v>
      </c>
      <c r="D1464" s="8" t="s">
        <v>14</v>
      </c>
      <c r="E1464" s="9">
        <v>24.43</v>
      </c>
      <c r="F1464" s="8" t="s">
        <v>10</v>
      </c>
      <c r="G1464" s="8">
        <v>48.86</v>
      </c>
      <c r="H1464" s="10">
        <f t="shared" si="44"/>
        <v>5</v>
      </c>
      <c r="I1464" s="10">
        <f>YEAR(Sheet1!$A1464)</f>
        <v>2024</v>
      </c>
      <c r="J1464" s="10">
        <f>DAY(Sheet1!$A1464)</f>
        <v>1</v>
      </c>
      <c r="K1464" s="12" t="s">
        <v>2022</v>
      </c>
      <c r="L1464" s="13" t="str">
        <f t="shared" si="45"/>
        <v>Regular Customer</v>
      </c>
    </row>
    <row r="1465" spans="1:12" ht="15.75" customHeight="1" x14ac:dyDescent="0.3">
      <c r="A1465" s="14">
        <v>45440</v>
      </c>
      <c r="B1465" s="15" t="s">
        <v>2000</v>
      </c>
      <c r="C1465" s="15" t="s">
        <v>13</v>
      </c>
      <c r="D1465" s="15" t="s">
        <v>16</v>
      </c>
      <c r="E1465" s="16">
        <v>24.45</v>
      </c>
      <c r="F1465" s="15" t="s">
        <v>10</v>
      </c>
      <c r="G1465" s="15">
        <v>48.9</v>
      </c>
      <c r="H1465" s="17">
        <f t="shared" si="44"/>
        <v>5</v>
      </c>
      <c r="I1465" s="17">
        <f>YEAR(Sheet1!$A1465)</f>
        <v>2024</v>
      </c>
      <c r="J1465" s="17">
        <f>DAY(Sheet1!$A1465)</f>
        <v>28</v>
      </c>
      <c r="K1465" s="18" t="s">
        <v>2023</v>
      </c>
      <c r="L1465" s="19" t="str">
        <f t="shared" si="45"/>
        <v>Regular Customer</v>
      </c>
    </row>
    <row r="1466" spans="1:12" ht="15.75" customHeight="1" x14ac:dyDescent="0.3">
      <c r="A1466" s="7">
        <v>45654</v>
      </c>
      <c r="B1466" s="8" t="s">
        <v>1502</v>
      </c>
      <c r="C1466" s="8" t="s">
        <v>8</v>
      </c>
      <c r="D1466" s="8" t="s">
        <v>16</v>
      </c>
      <c r="E1466" s="9">
        <v>16.3</v>
      </c>
      <c r="F1466" s="8" t="s">
        <v>11</v>
      </c>
      <c r="G1466" s="8">
        <v>48.9</v>
      </c>
      <c r="H1466" s="10">
        <f t="shared" si="44"/>
        <v>12</v>
      </c>
      <c r="I1466" s="10">
        <f>YEAR(Sheet1!$A1466)</f>
        <v>2024</v>
      </c>
      <c r="J1466" s="10">
        <f>DAY(Sheet1!$A1466)</f>
        <v>28</v>
      </c>
      <c r="K1466" s="12" t="s">
        <v>2023</v>
      </c>
      <c r="L1466" s="13" t="str">
        <f t="shared" si="45"/>
        <v>Regular Customer</v>
      </c>
    </row>
    <row r="1467" spans="1:12" ht="15.75" customHeight="1" x14ac:dyDescent="0.3">
      <c r="A1467" s="14">
        <v>45607</v>
      </c>
      <c r="B1467" s="15" t="s">
        <v>857</v>
      </c>
      <c r="C1467" s="15" t="s">
        <v>18</v>
      </c>
      <c r="D1467" s="15" t="s">
        <v>14</v>
      </c>
      <c r="E1467" s="16">
        <v>16.38</v>
      </c>
      <c r="F1467" s="15" t="s">
        <v>11</v>
      </c>
      <c r="G1467" s="15">
        <v>49.14</v>
      </c>
      <c r="H1467" s="17">
        <f t="shared" si="44"/>
        <v>11</v>
      </c>
      <c r="I1467" s="17">
        <f>YEAR(Sheet1!$A1467)</f>
        <v>2024</v>
      </c>
      <c r="J1467" s="17">
        <f>DAY(Sheet1!$A1467)</f>
        <v>11</v>
      </c>
      <c r="K1467" s="18" t="s">
        <v>2023</v>
      </c>
      <c r="L1467" s="19" t="str">
        <f t="shared" si="45"/>
        <v>Regular Customer</v>
      </c>
    </row>
    <row r="1468" spans="1:12" ht="15.75" customHeight="1" x14ac:dyDescent="0.3">
      <c r="A1468" s="7">
        <v>45551</v>
      </c>
      <c r="B1468" s="8" t="s">
        <v>483</v>
      </c>
      <c r="C1468" s="8" t="s">
        <v>24</v>
      </c>
      <c r="D1468" s="8" t="s">
        <v>14</v>
      </c>
      <c r="E1468" s="9">
        <v>16.420000000000002</v>
      </c>
      <c r="F1468" s="8" t="s">
        <v>11</v>
      </c>
      <c r="G1468" s="8">
        <v>49.26</v>
      </c>
      <c r="H1468" s="10">
        <f t="shared" si="44"/>
        <v>9</v>
      </c>
      <c r="I1468" s="10">
        <f>YEAR(Sheet1!$A1468)</f>
        <v>2024</v>
      </c>
      <c r="J1468" s="10">
        <f>DAY(Sheet1!$A1468)</f>
        <v>16</v>
      </c>
      <c r="K1468" s="12" t="s">
        <v>2023</v>
      </c>
      <c r="L1468" s="13" t="str">
        <f t="shared" si="45"/>
        <v>Regular Customer</v>
      </c>
    </row>
    <row r="1469" spans="1:12" ht="15.75" customHeight="1" x14ac:dyDescent="0.3">
      <c r="A1469" s="14">
        <v>45709</v>
      </c>
      <c r="B1469" s="15" t="s">
        <v>1498</v>
      </c>
      <c r="C1469" s="15" t="s">
        <v>18</v>
      </c>
      <c r="D1469" s="15" t="s">
        <v>19</v>
      </c>
      <c r="E1469" s="16">
        <v>24.63</v>
      </c>
      <c r="F1469" s="15" t="s">
        <v>10</v>
      </c>
      <c r="G1469" s="15">
        <v>49.26</v>
      </c>
      <c r="H1469" s="17">
        <f t="shared" si="44"/>
        <v>2</v>
      </c>
      <c r="I1469" s="17">
        <f>YEAR(Sheet1!$A1469)</f>
        <v>2025</v>
      </c>
      <c r="J1469" s="17">
        <f>DAY(Sheet1!$A1469)</f>
        <v>21</v>
      </c>
      <c r="K1469" s="18" t="s">
        <v>2023</v>
      </c>
      <c r="L1469" s="19" t="str">
        <f t="shared" si="45"/>
        <v>Regular Customer</v>
      </c>
    </row>
    <row r="1470" spans="1:12" ht="15.75" customHeight="1" x14ac:dyDescent="0.3">
      <c r="A1470" s="7">
        <v>45751</v>
      </c>
      <c r="B1470" s="8" t="s">
        <v>1125</v>
      </c>
      <c r="C1470" s="8" t="s">
        <v>18</v>
      </c>
      <c r="D1470" s="8" t="s">
        <v>14</v>
      </c>
      <c r="E1470" s="9">
        <v>16.420000000000002</v>
      </c>
      <c r="F1470" s="8" t="s">
        <v>11</v>
      </c>
      <c r="G1470" s="8">
        <v>49.26</v>
      </c>
      <c r="H1470" s="10">
        <f t="shared" si="44"/>
        <v>4</v>
      </c>
      <c r="I1470" s="10">
        <f>YEAR(Sheet1!$A1470)</f>
        <v>2025</v>
      </c>
      <c r="J1470" s="10">
        <f>DAY(Sheet1!$A1470)</f>
        <v>4</v>
      </c>
      <c r="K1470" s="12" t="s">
        <v>2023</v>
      </c>
      <c r="L1470" s="13" t="str">
        <f t="shared" si="45"/>
        <v>Regular Customer</v>
      </c>
    </row>
    <row r="1471" spans="1:12" ht="15.75" customHeight="1" x14ac:dyDescent="0.3">
      <c r="A1471" s="14">
        <v>45568</v>
      </c>
      <c r="B1471" s="15" t="s">
        <v>751</v>
      </c>
      <c r="C1471" s="15" t="s">
        <v>18</v>
      </c>
      <c r="D1471" s="15" t="s">
        <v>9</v>
      </c>
      <c r="E1471" s="16">
        <v>24.64</v>
      </c>
      <c r="F1471" s="15" t="s">
        <v>11</v>
      </c>
      <c r="G1471" s="15">
        <v>49.28</v>
      </c>
      <c r="H1471" s="17">
        <f t="shared" si="44"/>
        <v>10</v>
      </c>
      <c r="I1471" s="17">
        <f>YEAR(Sheet1!$A1471)</f>
        <v>2024</v>
      </c>
      <c r="J1471" s="17">
        <f>DAY(Sheet1!$A1471)</f>
        <v>3</v>
      </c>
      <c r="K1471" s="18" t="s">
        <v>2023</v>
      </c>
      <c r="L1471" s="19" t="str">
        <f t="shared" si="45"/>
        <v>Regular Customer</v>
      </c>
    </row>
    <row r="1472" spans="1:12" ht="15.75" customHeight="1" x14ac:dyDescent="0.3">
      <c r="A1472" s="7">
        <v>45636</v>
      </c>
      <c r="B1472" s="8" t="s">
        <v>227</v>
      </c>
      <c r="C1472" s="8" t="s">
        <v>18</v>
      </c>
      <c r="D1472" s="8" t="s">
        <v>19</v>
      </c>
      <c r="E1472" s="9">
        <v>16.43</v>
      </c>
      <c r="F1472" s="8" t="s">
        <v>10</v>
      </c>
      <c r="G1472" s="8">
        <v>49.29</v>
      </c>
      <c r="H1472" s="10">
        <f t="shared" si="44"/>
        <v>12</v>
      </c>
      <c r="I1472" s="10">
        <f>YEAR(Sheet1!$A1472)</f>
        <v>2024</v>
      </c>
      <c r="J1472" s="10">
        <f>DAY(Sheet1!$A1472)</f>
        <v>10</v>
      </c>
      <c r="K1472" s="12" t="s">
        <v>2022</v>
      </c>
      <c r="L1472" s="13" t="str">
        <f t="shared" si="45"/>
        <v>Regular Customer</v>
      </c>
    </row>
    <row r="1473" spans="1:12" ht="15.75" customHeight="1" x14ac:dyDescent="0.3">
      <c r="A1473" s="14">
        <v>45717</v>
      </c>
      <c r="B1473" s="15" t="s">
        <v>717</v>
      </c>
      <c r="C1473" s="15" t="s">
        <v>13</v>
      </c>
      <c r="D1473" s="15" t="s">
        <v>16</v>
      </c>
      <c r="E1473" s="16">
        <v>16.5</v>
      </c>
      <c r="F1473" s="15" t="s">
        <v>11</v>
      </c>
      <c r="G1473" s="15">
        <v>49.5</v>
      </c>
      <c r="H1473" s="17">
        <f t="shared" si="44"/>
        <v>3</v>
      </c>
      <c r="I1473" s="17">
        <f>YEAR(Sheet1!$A1473)</f>
        <v>2025</v>
      </c>
      <c r="J1473" s="17">
        <f>DAY(Sheet1!$A1473)</f>
        <v>1</v>
      </c>
      <c r="K1473" s="18" t="s">
        <v>2023</v>
      </c>
      <c r="L1473" s="19" t="str">
        <f t="shared" si="45"/>
        <v>Regular Customer</v>
      </c>
    </row>
    <row r="1474" spans="1:12" ht="15.75" customHeight="1" x14ac:dyDescent="0.3">
      <c r="A1474" s="7">
        <v>45546</v>
      </c>
      <c r="B1474" s="8" t="s">
        <v>1843</v>
      </c>
      <c r="C1474" s="8" t="s">
        <v>18</v>
      </c>
      <c r="D1474" s="8" t="s">
        <v>14</v>
      </c>
      <c r="E1474" s="9">
        <v>16.52</v>
      </c>
      <c r="F1474" s="8" t="s">
        <v>10</v>
      </c>
      <c r="G1474" s="8">
        <v>49.56</v>
      </c>
      <c r="H1474" s="10">
        <f t="shared" ref="H1474:H1537" si="46">MONTH(A1474)</f>
        <v>9</v>
      </c>
      <c r="I1474" s="10">
        <f>YEAR(Sheet1!$A1474)</f>
        <v>2024</v>
      </c>
      <c r="J1474" s="10">
        <f>DAY(Sheet1!$A1474)</f>
        <v>11</v>
      </c>
      <c r="K1474" s="12" t="s">
        <v>2023</v>
      </c>
      <c r="L1474" s="13" t="str">
        <f t="shared" ref="L1474:L1537" si="47">IF(G1474&gt;50,"Premium Customer","Regular Customer")</f>
        <v>Regular Customer</v>
      </c>
    </row>
    <row r="1475" spans="1:12" ht="15.75" customHeight="1" x14ac:dyDescent="0.3">
      <c r="A1475" s="14">
        <v>45512</v>
      </c>
      <c r="B1475" s="15" t="s">
        <v>1895</v>
      </c>
      <c r="C1475" s="15" t="s">
        <v>18</v>
      </c>
      <c r="D1475" s="15" t="s">
        <v>14</v>
      </c>
      <c r="E1475" s="16">
        <v>16.54</v>
      </c>
      <c r="F1475" s="15" t="s">
        <v>11</v>
      </c>
      <c r="G1475" s="15">
        <v>49.62</v>
      </c>
      <c r="H1475" s="17">
        <f t="shared" si="46"/>
        <v>8</v>
      </c>
      <c r="I1475" s="17">
        <f>YEAR(Sheet1!$A1475)</f>
        <v>2024</v>
      </c>
      <c r="J1475" s="17">
        <f>DAY(Sheet1!$A1475)</f>
        <v>8</v>
      </c>
      <c r="K1475" s="18" t="s">
        <v>2023</v>
      </c>
      <c r="L1475" s="19" t="str">
        <f t="shared" si="47"/>
        <v>Regular Customer</v>
      </c>
    </row>
    <row r="1476" spans="1:12" ht="15.75" customHeight="1" x14ac:dyDescent="0.3">
      <c r="A1476" s="7">
        <v>45465</v>
      </c>
      <c r="B1476" s="8" t="s">
        <v>704</v>
      </c>
      <c r="C1476" s="8" t="s">
        <v>13</v>
      </c>
      <c r="D1476" s="8" t="s">
        <v>14</v>
      </c>
      <c r="E1476" s="9">
        <v>24.83</v>
      </c>
      <c r="F1476" s="8" t="s">
        <v>10</v>
      </c>
      <c r="G1476" s="8">
        <v>49.66</v>
      </c>
      <c r="H1476" s="10">
        <f t="shared" si="46"/>
        <v>6</v>
      </c>
      <c r="I1476" s="10">
        <f>YEAR(Sheet1!$A1476)</f>
        <v>2024</v>
      </c>
      <c r="J1476" s="10">
        <f>DAY(Sheet1!$A1476)</f>
        <v>22</v>
      </c>
      <c r="K1476" s="12" t="s">
        <v>2023</v>
      </c>
      <c r="L1476" s="13" t="str">
        <f t="shared" si="47"/>
        <v>Regular Customer</v>
      </c>
    </row>
    <row r="1477" spans="1:12" ht="15.75" customHeight="1" x14ac:dyDescent="0.3">
      <c r="A1477" s="14">
        <v>45737</v>
      </c>
      <c r="B1477" s="15" t="s">
        <v>1084</v>
      </c>
      <c r="C1477" s="15" t="s">
        <v>24</v>
      </c>
      <c r="D1477" s="15" t="s">
        <v>14</v>
      </c>
      <c r="E1477" s="16">
        <v>24.86</v>
      </c>
      <c r="F1477" s="15" t="s">
        <v>11</v>
      </c>
      <c r="G1477" s="15">
        <v>49.72</v>
      </c>
      <c r="H1477" s="17">
        <f t="shared" si="46"/>
        <v>3</v>
      </c>
      <c r="I1477" s="17">
        <f>YEAR(Sheet1!$A1477)</f>
        <v>2025</v>
      </c>
      <c r="J1477" s="17">
        <f>DAY(Sheet1!$A1477)</f>
        <v>21</v>
      </c>
      <c r="K1477" s="18" t="s">
        <v>2023</v>
      </c>
      <c r="L1477" s="19" t="str">
        <f t="shared" si="47"/>
        <v>Regular Customer</v>
      </c>
    </row>
    <row r="1478" spans="1:12" ht="15.75" customHeight="1" x14ac:dyDescent="0.3">
      <c r="A1478" s="7">
        <v>45468</v>
      </c>
      <c r="B1478" s="8" t="s">
        <v>187</v>
      </c>
      <c r="C1478" s="8" t="s">
        <v>13</v>
      </c>
      <c r="D1478" s="8" t="s">
        <v>19</v>
      </c>
      <c r="E1478" s="9">
        <v>24.91</v>
      </c>
      <c r="F1478" s="8" t="s">
        <v>11</v>
      </c>
      <c r="G1478" s="8">
        <v>49.82</v>
      </c>
      <c r="H1478" s="10">
        <f t="shared" si="46"/>
        <v>6</v>
      </c>
      <c r="I1478" s="10">
        <f>YEAR(Sheet1!$A1478)</f>
        <v>2024</v>
      </c>
      <c r="J1478" s="10">
        <f>DAY(Sheet1!$A1478)</f>
        <v>25</v>
      </c>
      <c r="K1478" s="12" t="s">
        <v>2023</v>
      </c>
      <c r="L1478" s="13" t="str">
        <f t="shared" si="47"/>
        <v>Regular Customer</v>
      </c>
    </row>
    <row r="1479" spans="1:12" ht="15.75" customHeight="1" x14ac:dyDescent="0.3">
      <c r="A1479" s="14">
        <v>45506</v>
      </c>
      <c r="B1479" s="15" t="s">
        <v>1009</v>
      </c>
      <c r="C1479" s="15" t="s">
        <v>24</v>
      </c>
      <c r="D1479" s="15" t="s">
        <v>16</v>
      </c>
      <c r="E1479" s="16">
        <v>24.95</v>
      </c>
      <c r="F1479" s="15" t="s">
        <v>10</v>
      </c>
      <c r="G1479" s="15">
        <v>49.9</v>
      </c>
      <c r="H1479" s="17">
        <f t="shared" si="46"/>
        <v>8</v>
      </c>
      <c r="I1479" s="17">
        <f>YEAR(Sheet1!$A1479)</f>
        <v>2024</v>
      </c>
      <c r="J1479" s="17">
        <f>DAY(Sheet1!$A1479)</f>
        <v>2</v>
      </c>
      <c r="K1479" s="18" t="s">
        <v>2022</v>
      </c>
      <c r="L1479" s="19" t="str">
        <f t="shared" si="47"/>
        <v>Regular Customer</v>
      </c>
    </row>
    <row r="1480" spans="1:12" ht="15.75" customHeight="1" x14ac:dyDescent="0.3">
      <c r="A1480" s="7">
        <v>45722</v>
      </c>
      <c r="B1480" s="8" t="s">
        <v>1030</v>
      </c>
      <c r="C1480" s="8" t="s">
        <v>8</v>
      </c>
      <c r="D1480" s="8" t="s">
        <v>19</v>
      </c>
      <c r="E1480" s="9">
        <v>24.97</v>
      </c>
      <c r="F1480" s="8" t="s">
        <v>10</v>
      </c>
      <c r="G1480" s="8">
        <v>49.94</v>
      </c>
      <c r="H1480" s="10">
        <f t="shared" si="46"/>
        <v>3</v>
      </c>
      <c r="I1480" s="10">
        <f>YEAR(Sheet1!$A1480)</f>
        <v>2025</v>
      </c>
      <c r="J1480" s="10">
        <f>DAY(Sheet1!$A1480)</f>
        <v>6</v>
      </c>
      <c r="K1480" s="12" t="s">
        <v>2023</v>
      </c>
      <c r="L1480" s="13" t="str">
        <f t="shared" si="47"/>
        <v>Regular Customer</v>
      </c>
    </row>
    <row r="1481" spans="1:12" ht="15.75" customHeight="1" x14ac:dyDescent="0.3">
      <c r="A1481" s="14">
        <v>45533</v>
      </c>
      <c r="B1481" s="15" t="s">
        <v>151</v>
      </c>
      <c r="C1481" s="15" t="s">
        <v>24</v>
      </c>
      <c r="D1481" s="15" t="s">
        <v>14</v>
      </c>
      <c r="E1481" s="16">
        <v>16.649999999999999</v>
      </c>
      <c r="F1481" s="15" t="s">
        <v>10</v>
      </c>
      <c r="G1481" s="15">
        <v>49.95</v>
      </c>
      <c r="H1481" s="17">
        <f t="shared" si="46"/>
        <v>8</v>
      </c>
      <c r="I1481" s="17">
        <f>YEAR(Sheet1!$A1481)</f>
        <v>2024</v>
      </c>
      <c r="J1481" s="17">
        <f>DAY(Sheet1!$A1481)</f>
        <v>29</v>
      </c>
      <c r="K1481" s="18" t="s">
        <v>2022</v>
      </c>
      <c r="L1481" s="19" t="str">
        <f t="shared" si="47"/>
        <v>Regular Customer</v>
      </c>
    </row>
    <row r="1482" spans="1:12" ht="15.75" customHeight="1" x14ac:dyDescent="0.3">
      <c r="A1482" s="7">
        <v>45765</v>
      </c>
      <c r="B1482" s="8" t="s">
        <v>1628</v>
      </c>
      <c r="C1482" s="8" t="s">
        <v>13</v>
      </c>
      <c r="D1482" s="8" t="s">
        <v>14</v>
      </c>
      <c r="E1482" s="9">
        <v>24.98</v>
      </c>
      <c r="F1482" s="8" t="s">
        <v>11</v>
      </c>
      <c r="G1482" s="8">
        <v>49.96</v>
      </c>
      <c r="H1482" s="10">
        <f t="shared" si="46"/>
        <v>4</v>
      </c>
      <c r="I1482" s="10">
        <f>YEAR(Sheet1!$A1482)</f>
        <v>2025</v>
      </c>
      <c r="J1482" s="10">
        <f>DAY(Sheet1!$A1482)</f>
        <v>18</v>
      </c>
      <c r="K1482" s="12" t="s">
        <v>2022</v>
      </c>
      <c r="L1482" s="13" t="str">
        <f t="shared" si="47"/>
        <v>Regular Customer</v>
      </c>
    </row>
    <row r="1483" spans="1:12" ht="15.75" customHeight="1" x14ac:dyDescent="0.3">
      <c r="A1483" s="14">
        <v>45728</v>
      </c>
      <c r="B1483" s="15" t="s">
        <v>1192</v>
      </c>
      <c r="C1483" s="15" t="s">
        <v>13</v>
      </c>
      <c r="D1483" s="15" t="s">
        <v>14</v>
      </c>
      <c r="E1483" s="16">
        <v>16.66</v>
      </c>
      <c r="F1483" s="15" t="s">
        <v>11</v>
      </c>
      <c r="G1483" s="15">
        <v>49.98</v>
      </c>
      <c r="H1483" s="17">
        <f t="shared" si="46"/>
        <v>3</v>
      </c>
      <c r="I1483" s="17">
        <f>YEAR(Sheet1!$A1483)</f>
        <v>2025</v>
      </c>
      <c r="J1483" s="17">
        <f>DAY(Sheet1!$A1483)</f>
        <v>12</v>
      </c>
      <c r="K1483" s="18" t="s">
        <v>2023</v>
      </c>
      <c r="L1483" s="19" t="str">
        <f t="shared" si="47"/>
        <v>Regular Customer</v>
      </c>
    </row>
    <row r="1484" spans="1:12" ht="15.75" customHeight="1" x14ac:dyDescent="0.3">
      <c r="A1484" s="7">
        <v>45776</v>
      </c>
      <c r="B1484" s="8" t="s">
        <v>1266</v>
      </c>
      <c r="C1484" s="8" t="s">
        <v>24</v>
      </c>
      <c r="D1484" s="8" t="s">
        <v>16</v>
      </c>
      <c r="E1484" s="9">
        <v>16.670000000000002</v>
      </c>
      <c r="F1484" s="8" t="s">
        <v>11</v>
      </c>
      <c r="G1484" s="8">
        <v>50.01</v>
      </c>
      <c r="H1484" s="10">
        <f t="shared" si="46"/>
        <v>4</v>
      </c>
      <c r="I1484" s="10">
        <f>YEAR(Sheet1!$A1484)</f>
        <v>2025</v>
      </c>
      <c r="J1484" s="10">
        <f>DAY(Sheet1!$A1484)</f>
        <v>29</v>
      </c>
      <c r="K1484" s="12" t="s">
        <v>2023</v>
      </c>
      <c r="L1484" s="13" t="str">
        <f t="shared" si="47"/>
        <v>Premium Customer</v>
      </c>
    </row>
    <row r="1485" spans="1:12" ht="15.75" customHeight="1" x14ac:dyDescent="0.3">
      <c r="A1485" s="14">
        <v>45464</v>
      </c>
      <c r="B1485" s="15" t="s">
        <v>1849</v>
      </c>
      <c r="C1485" s="15" t="s">
        <v>8</v>
      </c>
      <c r="D1485" s="15" t="s">
        <v>14</v>
      </c>
      <c r="E1485" s="16">
        <v>25.02</v>
      </c>
      <c r="F1485" s="15" t="s">
        <v>10</v>
      </c>
      <c r="G1485" s="15">
        <v>50.04</v>
      </c>
      <c r="H1485" s="17">
        <f t="shared" si="46"/>
        <v>6</v>
      </c>
      <c r="I1485" s="17">
        <f>YEAR(Sheet1!$A1485)</f>
        <v>2024</v>
      </c>
      <c r="J1485" s="17">
        <f>DAY(Sheet1!$A1485)</f>
        <v>21</v>
      </c>
      <c r="K1485" s="18" t="s">
        <v>2023</v>
      </c>
      <c r="L1485" s="19" t="str">
        <f t="shared" si="47"/>
        <v>Premium Customer</v>
      </c>
    </row>
    <row r="1486" spans="1:12" ht="15.75" customHeight="1" x14ac:dyDescent="0.3">
      <c r="A1486" s="7">
        <v>45560</v>
      </c>
      <c r="B1486" s="8" t="s">
        <v>323</v>
      </c>
      <c r="C1486" s="8" t="s">
        <v>18</v>
      </c>
      <c r="D1486" s="8" t="s">
        <v>14</v>
      </c>
      <c r="E1486" s="9">
        <v>25.03</v>
      </c>
      <c r="F1486" s="8" t="s">
        <v>11</v>
      </c>
      <c r="G1486" s="8">
        <v>50.06</v>
      </c>
      <c r="H1486" s="10">
        <f t="shared" si="46"/>
        <v>9</v>
      </c>
      <c r="I1486" s="10">
        <f>YEAR(Sheet1!$A1486)</f>
        <v>2024</v>
      </c>
      <c r="J1486" s="10">
        <f>DAY(Sheet1!$A1486)</f>
        <v>25</v>
      </c>
      <c r="K1486" s="12" t="s">
        <v>2023</v>
      </c>
      <c r="L1486" s="13" t="str">
        <f t="shared" si="47"/>
        <v>Premium Customer</v>
      </c>
    </row>
    <row r="1487" spans="1:12" ht="15.75" customHeight="1" x14ac:dyDescent="0.3">
      <c r="A1487" s="14">
        <v>45481</v>
      </c>
      <c r="B1487" s="15" t="s">
        <v>223</v>
      </c>
      <c r="C1487" s="15" t="s">
        <v>8</v>
      </c>
      <c r="D1487" s="15" t="s">
        <v>19</v>
      </c>
      <c r="E1487" s="16">
        <v>25.07</v>
      </c>
      <c r="F1487" s="15" t="s">
        <v>10</v>
      </c>
      <c r="G1487" s="15">
        <v>50.14</v>
      </c>
      <c r="H1487" s="17">
        <f t="shared" si="46"/>
        <v>7</v>
      </c>
      <c r="I1487" s="17">
        <f>YEAR(Sheet1!$A1487)</f>
        <v>2024</v>
      </c>
      <c r="J1487" s="17">
        <f>DAY(Sheet1!$A1487)</f>
        <v>8</v>
      </c>
      <c r="K1487" s="18" t="s">
        <v>2023</v>
      </c>
      <c r="L1487" s="19" t="str">
        <f t="shared" si="47"/>
        <v>Premium Customer</v>
      </c>
    </row>
    <row r="1488" spans="1:12" ht="15.75" customHeight="1" x14ac:dyDescent="0.3">
      <c r="A1488" s="7">
        <v>45582</v>
      </c>
      <c r="B1488" s="8" t="s">
        <v>74</v>
      </c>
      <c r="C1488" s="8" t="s">
        <v>24</v>
      </c>
      <c r="D1488" s="8" t="s">
        <v>19</v>
      </c>
      <c r="E1488" s="9">
        <v>25.09</v>
      </c>
      <c r="F1488" s="8" t="s">
        <v>10</v>
      </c>
      <c r="G1488" s="8">
        <v>50.18</v>
      </c>
      <c r="H1488" s="10">
        <f t="shared" si="46"/>
        <v>10</v>
      </c>
      <c r="I1488" s="10">
        <f>YEAR(Sheet1!$A1488)</f>
        <v>2024</v>
      </c>
      <c r="J1488" s="10">
        <f>DAY(Sheet1!$A1488)</f>
        <v>17</v>
      </c>
      <c r="K1488" s="12" t="s">
        <v>2022</v>
      </c>
      <c r="L1488" s="13" t="str">
        <f t="shared" si="47"/>
        <v>Premium Customer</v>
      </c>
    </row>
    <row r="1489" spans="1:12" ht="15.75" customHeight="1" x14ac:dyDescent="0.3">
      <c r="A1489" s="14">
        <v>45562</v>
      </c>
      <c r="B1489" s="15" t="s">
        <v>540</v>
      </c>
      <c r="C1489" s="15" t="s">
        <v>8</v>
      </c>
      <c r="D1489" s="15" t="s">
        <v>16</v>
      </c>
      <c r="E1489" s="16">
        <v>25.11</v>
      </c>
      <c r="F1489" s="15" t="s">
        <v>10</v>
      </c>
      <c r="G1489" s="15">
        <v>50.22</v>
      </c>
      <c r="H1489" s="17">
        <f t="shared" si="46"/>
        <v>9</v>
      </c>
      <c r="I1489" s="17">
        <f>YEAR(Sheet1!$A1489)</f>
        <v>2024</v>
      </c>
      <c r="J1489" s="17">
        <f>DAY(Sheet1!$A1489)</f>
        <v>27</v>
      </c>
      <c r="K1489" s="18" t="s">
        <v>2023</v>
      </c>
      <c r="L1489" s="19" t="str">
        <f t="shared" si="47"/>
        <v>Premium Customer</v>
      </c>
    </row>
    <row r="1490" spans="1:12" ht="15.75" customHeight="1" x14ac:dyDescent="0.3">
      <c r="A1490" s="7">
        <v>45603</v>
      </c>
      <c r="B1490" s="8" t="s">
        <v>874</v>
      </c>
      <c r="C1490" s="8" t="s">
        <v>18</v>
      </c>
      <c r="D1490" s="8" t="s">
        <v>14</v>
      </c>
      <c r="E1490" s="9">
        <v>25.11</v>
      </c>
      <c r="F1490" s="8" t="s">
        <v>10</v>
      </c>
      <c r="G1490" s="8">
        <v>50.22</v>
      </c>
      <c r="H1490" s="10">
        <f t="shared" si="46"/>
        <v>11</v>
      </c>
      <c r="I1490" s="10">
        <f>YEAR(Sheet1!$A1490)</f>
        <v>2024</v>
      </c>
      <c r="J1490" s="10">
        <f>DAY(Sheet1!$A1490)</f>
        <v>7</v>
      </c>
      <c r="K1490" s="12" t="s">
        <v>2022</v>
      </c>
      <c r="L1490" s="13" t="str">
        <f t="shared" si="47"/>
        <v>Premium Customer</v>
      </c>
    </row>
    <row r="1491" spans="1:12" ht="15.75" customHeight="1" x14ac:dyDescent="0.3">
      <c r="A1491" s="14">
        <v>45661</v>
      </c>
      <c r="B1491" s="15" t="s">
        <v>1589</v>
      </c>
      <c r="C1491" s="15" t="s">
        <v>8</v>
      </c>
      <c r="D1491" s="15" t="s">
        <v>19</v>
      </c>
      <c r="E1491" s="16">
        <v>16.739999999999998</v>
      </c>
      <c r="F1491" s="15" t="s">
        <v>11</v>
      </c>
      <c r="G1491" s="15">
        <v>50.22</v>
      </c>
      <c r="H1491" s="17">
        <f t="shared" si="46"/>
        <v>1</v>
      </c>
      <c r="I1491" s="17">
        <f>YEAR(Sheet1!$A1491)</f>
        <v>2025</v>
      </c>
      <c r="J1491" s="17">
        <f>DAY(Sheet1!$A1491)</f>
        <v>4</v>
      </c>
      <c r="K1491" s="18" t="s">
        <v>2022</v>
      </c>
      <c r="L1491" s="19" t="str">
        <f t="shared" si="47"/>
        <v>Premium Customer</v>
      </c>
    </row>
    <row r="1492" spans="1:12" ht="15.75" customHeight="1" x14ac:dyDescent="0.3">
      <c r="A1492" s="7">
        <v>45632</v>
      </c>
      <c r="B1492" s="8" t="s">
        <v>1109</v>
      </c>
      <c r="C1492" s="8" t="s">
        <v>8</v>
      </c>
      <c r="D1492" s="8" t="s">
        <v>19</v>
      </c>
      <c r="E1492" s="9">
        <v>16.8</v>
      </c>
      <c r="F1492" s="8" t="s">
        <v>11</v>
      </c>
      <c r="G1492" s="8">
        <v>50.4</v>
      </c>
      <c r="H1492" s="10">
        <f t="shared" si="46"/>
        <v>12</v>
      </c>
      <c r="I1492" s="10">
        <f>YEAR(Sheet1!$A1492)</f>
        <v>2024</v>
      </c>
      <c r="J1492" s="10">
        <f>DAY(Sheet1!$A1492)</f>
        <v>6</v>
      </c>
      <c r="K1492" s="12" t="s">
        <v>2022</v>
      </c>
      <c r="L1492" s="13" t="str">
        <f t="shared" si="47"/>
        <v>Premium Customer</v>
      </c>
    </row>
    <row r="1493" spans="1:12" ht="15.75" customHeight="1" x14ac:dyDescent="0.3">
      <c r="A1493" s="14">
        <v>45745</v>
      </c>
      <c r="B1493" s="15" t="s">
        <v>509</v>
      </c>
      <c r="C1493" s="15" t="s">
        <v>24</v>
      </c>
      <c r="D1493" s="15" t="s">
        <v>14</v>
      </c>
      <c r="E1493" s="16">
        <v>16.8</v>
      </c>
      <c r="F1493" s="15" t="s">
        <v>10</v>
      </c>
      <c r="G1493" s="15">
        <v>50.4</v>
      </c>
      <c r="H1493" s="17">
        <f t="shared" si="46"/>
        <v>3</v>
      </c>
      <c r="I1493" s="17">
        <f>YEAR(Sheet1!$A1493)</f>
        <v>2025</v>
      </c>
      <c r="J1493" s="17">
        <f>DAY(Sheet1!$A1493)</f>
        <v>29</v>
      </c>
      <c r="K1493" s="18" t="s">
        <v>2022</v>
      </c>
      <c r="L1493" s="19" t="str">
        <f t="shared" si="47"/>
        <v>Premium Customer</v>
      </c>
    </row>
    <row r="1494" spans="1:12" ht="15.75" customHeight="1" x14ac:dyDescent="0.3">
      <c r="A1494" s="7">
        <v>45691</v>
      </c>
      <c r="B1494" s="8" t="s">
        <v>1044</v>
      </c>
      <c r="C1494" s="8" t="s">
        <v>13</v>
      </c>
      <c r="D1494" s="8" t="s">
        <v>19</v>
      </c>
      <c r="E1494" s="9">
        <v>25.23</v>
      </c>
      <c r="F1494" s="8" t="s">
        <v>10</v>
      </c>
      <c r="G1494" s="8">
        <v>50.46</v>
      </c>
      <c r="H1494" s="10">
        <f t="shared" si="46"/>
        <v>2</v>
      </c>
      <c r="I1494" s="10">
        <f>YEAR(Sheet1!$A1494)</f>
        <v>2025</v>
      </c>
      <c r="J1494" s="10">
        <f>DAY(Sheet1!$A1494)</f>
        <v>3</v>
      </c>
      <c r="K1494" s="12" t="s">
        <v>2023</v>
      </c>
      <c r="L1494" s="13" t="str">
        <f t="shared" si="47"/>
        <v>Premium Customer</v>
      </c>
    </row>
    <row r="1495" spans="1:12" ht="15.75" customHeight="1" x14ac:dyDescent="0.3">
      <c r="A1495" s="14">
        <v>45590</v>
      </c>
      <c r="B1495" s="15" t="s">
        <v>1428</v>
      </c>
      <c r="C1495" s="15" t="s">
        <v>13</v>
      </c>
      <c r="D1495" s="15" t="s">
        <v>14</v>
      </c>
      <c r="E1495" s="16">
        <v>25.24</v>
      </c>
      <c r="F1495" s="15" t="s">
        <v>11</v>
      </c>
      <c r="G1495" s="15">
        <v>50.48</v>
      </c>
      <c r="H1495" s="17">
        <f t="shared" si="46"/>
        <v>10</v>
      </c>
      <c r="I1495" s="17">
        <f>YEAR(Sheet1!$A1495)</f>
        <v>2024</v>
      </c>
      <c r="J1495" s="17">
        <f>DAY(Sheet1!$A1495)</f>
        <v>25</v>
      </c>
      <c r="K1495" s="18" t="s">
        <v>2022</v>
      </c>
      <c r="L1495" s="19" t="str">
        <f t="shared" si="47"/>
        <v>Premium Customer</v>
      </c>
    </row>
    <row r="1496" spans="1:12" ht="15.75" customHeight="1" x14ac:dyDescent="0.3">
      <c r="A1496" s="7">
        <v>45424</v>
      </c>
      <c r="B1496" s="8" t="s">
        <v>1761</v>
      </c>
      <c r="C1496" s="8" t="s">
        <v>24</v>
      </c>
      <c r="D1496" s="8" t="s">
        <v>19</v>
      </c>
      <c r="E1496" s="9">
        <v>25.25</v>
      </c>
      <c r="F1496" s="8" t="s">
        <v>10</v>
      </c>
      <c r="G1496" s="8">
        <v>50.5</v>
      </c>
      <c r="H1496" s="10">
        <f t="shared" si="46"/>
        <v>5</v>
      </c>
      <c r="I1496" s="10">
        <f>YEAR(Sheet1!$A1496)</f>
        <v>2024</v>
      </c>
      <c r="J1496" s="10">
        <f>DAY(Sheet1!$A1496)</f>
        <v>12</v>
      </c>
      <c r="K1496" s="12" t="s">
        <v>2022</v>
      </c>
      <c r="L1496" s="13" t="str">
        <f t="shared" si="47"/>
        <v>Premium Customer</v>
      </c>
    </row>
    <row r="1497" spans="1:12" ht="15.75" customHeight="1" x14ac:dyDescent="0.3">
      <c r="A1497" s="14">
        <v>45562</v>
      </c>
      <c r="B1497" s="15" t="s">
        <v>884</v>
      </c>
      <c r="C1497" s="15" t="s">
        <v>18</v>
      </c>
      <c r="D1497" s="15" t="s">
        <v>19</v>
      </c>
      <c r="E1497" s="16">
        <v>16.84</v>
      </c>
      <c r="F1497" s="15" t="s">
        <v>11</v>
      </c>
      <c r="G1497" s="15">
        <v>50.52</v>
      </c>
      <c r="H1497" s="17">
        <f t="shared" si="46"/>
        <v>9</v>
      </c>
      <c r="I1497" s="17">
        <f>YEAR(Sheet1!$A1497)</f>
        <v>2024</v>
      </c>
      <c r="J1497" s="17">
        <f>DAY(Sheet1!$A1497)</f>
        <v>27</v>
      </c>
      <c r="K1497" s="18" t="s">
        <v>2022</v>
      </c>
      <c r="L1497" s="19" t="str">
        <f t="shared" si="47"/>
        <v>Premium Customer</v>
      </c>
    </row>
    <row r="1498" spans="1:12" ht="15.75" customHeight="1" x14ac:dyDescent="0.3">
      <c r="A1498" s="7">
        <v>45651</v>
      </c>
      <c r="B1498" s="8" t="s">
        <v>102</v>
      </c>
      <c r="C1498" s="8" t="s">
        <v>24</v>
      </c>
      <c r="D1498" s="8" t="s">
        <v>14</v>
      </c>
      <c r="E1498" s="9">
        <v>16.86</v>
      </c>
      <c r="F1498" s="8" t="s">
        <v>11</v>
      </c>
      <c r="G1498" s="8">
        <v>50.58</v>
      </c>
      <c r="H1498" s="10">
        <f t="shared" si="46"/>
        <v>12</v>
      </c>
      <c r="I1498" s="10">
        <f>YEAR(Sheet1!$A1498)</f>
        <v>2024</v>
      </c>
      <c r="J1498" s="10">
        <f>DAY(Sheet1!$A1498)</f>
        <v>25</v>
      </c>
      <c r="K1498" s="12" t="s">
        <v>2023</v>
      </c>
      <c r="L1498" s="13" t="str">
        <f t="shared" si="47"/>
        <v>Premium Customer</v>
      </c>
    </row>
    <row r="1499" spans="1:12" ht="15.75" customHeight="1" x14ac:dyDescent="0.3">
      <c r="A1499" s="14">
        <v>45425</v>
      </c>
      <c r="B1499" s="15" t="s">
        <v>985</v>
      </c>
      <c r="C1499" s="15" t="s">
        <v>8</v>
      </c>
      <c r="D1499" s="15" t="s">
        <v>16</v>
      </c>
      <c r="E1499" s="16">
        <v>16.88</v>
      </c>
      <c r="F1499" s="15" t="s">
        <v>11</v>
      </c>
      <c r="G1499" s="15">
        <v>50.64</v>
      </c>
      <c r="H1499" s="17">
        <f t="shared" si="46"/>
        <v>5</v>
      </c>
      <c r="I1499" s="17">
        <f>YEAR(Sheet1!$A1499)</f>
        <v>2024</v>
      </c>
      <c r="J1499" s="17">
        <f>DAY(Sheet1!$A1499)</f>
        <v>13</v>
      </c>
      <c r="K1499" s="18" t="s">
        <v>2023</v>
      </c>
      <c r="L1499" s="19" t="str">
        <f t="shared" si="47"/>
        <v>Premium Customer</v>
      </c>
    </row>
    <row r="1500" spans="1:12" ht="15.75" customHeight="1" x14ac:dyDescent="0.3">
      <c r="A1500" s="7">
        <v>45663</v>
      </c>
      <c r="B1500" s="8" t="s">
        <v>174</v>
      </c>
      <c r="C1500" s="8" t="s">
        <v>8</v>
      </c>
      <c r="D1500" s="8" t="s">
        <v>14</v>
      </c>
      <c r="E1500" s="9">
        <v>16.88</v>
      </c>
      <c r="F1500" s="8" t="s">
        <v>10</v>
      </c>
      <c r="G1500" s="8">
        <v>50.64</v>
      </c>
      <c r="H1500" s="10">
        <f t="shared" si="46"/>
        <v>1</v>
      </c>
      <c r="I1500" s="10">
        <f>YEAR(Sheet1!$A1500)</f>
        <v>2025</v>
      </c>
      <c r="J1500" s="10">
        <f>DAY(Sheet1!$A1500)</f>
        <v>6</v>
      </c>
      <c r="K1500" s="12" t="s">
        <v>2022</v>
      </c>
      <c r="L1500" s="13" t="str">
        <f t="shared" si="47"/>
        <v>Premium Customer</v>
      </c>
    </row>
    <row r="1501" spans="1:12" ht="15.75" customHeight="1" x14ac:dyDescent="0.3">
      <c r="A1501" s="14">
        <v>45553</v>
      </c>
      <c r="B1501" s="15" t="s">
        <v>412</v>
      </c>
      <c r="C1501" s="15" t="s">
        <v>8</v>
      </c>
      <c r="D1501" s="15" t="s">
        <v>14</v>
      </c>
      <c r="E1501" s="16">
        <v>25.34</v>
      </c>
      <c r="F1501" s="15" t="s">
        <v>10</v>
      </c>
      <c r="G1501" s="15">
        <v>50.68</v>
      </c>
      <c r="H1501" s="17">
        <f t="shared" si="46"/>
        <v>9</v>
      </c>
      <c r="I1501" s="17">
        <f>YEAR(Sheet1!$A1501)</f>
        <v>2024</v>
      </c>
      <c r="J1501" s="17">
        <f>DAY(Sheet1!$A1501)</f>
        <v>18</v>
      </c>
      <c r="K1501" s="18" t="s">
        <v>2023</v>
      </c>
      <c r="L1501" s="19" t="str">
        <f t="shared" si="47"/>
        <v>Premium Customer</v>
      </c>
    </row>
    <row r="1502" spans="1:12" ht="15.75" customHeight="1" x14ac:dyDescent="0.3">
      <c r="A1502" s="7">
        <v>45693</v>
      </c>
      <c r="B1502" s="8" t="s">
        <v>1967</v>
      </c>
      <c r="C1502" s="8" t="s">
        <v>8</v>
      </c>
      <c r="D1502" s="8" t="s">
        <v>16</v>
      </c>
      <c r="E1502" s="9">
        <v>16.920000000000002</v>
      </c>
      <c r="F1502" s="8" t="s">
        <v>11</v>
      </c>
      <c r="G1502" s="8">
        <v>50.76</v>
      </c>
      <c r="H1502" s="10">
        <f t="shared" si="46"/>
        <v>2</v>
      </c>
      <c r="I1502" s="10">
        <f>YEAR(Sheet1!$A1502)</f>
        <v>2025</v>
      </c>
      <c r="J1502" s="10">
        <f>DAY(Sheet1!$A1502)</f>
        <v>5</v>
      </c>
      <c r="K1502" s="12" t="s">
        <v>2022</v>
      </c>
      <c r="L1502" s="13" t="str">
        <f t="shared" si="47"/>
        <v>Premium Customer</v>
      </c>
    </row>
    <row r="1503" spans="1:12" ht="15.75" customHeight="1" x14ac:dyDescent="0.3">
      <c r="A1503" s="14">
        <v>45441</v>
      </c>
      <c r="B1503" s="15" t="s">
        <v>544</v>
      </c>
      <c r="C1503" s="15" t="s">
        <v>24</v>
      </c>
      <c r="D1503" s="15" t="s">
        <v>16</v>
      </c>
      <c r="E1503" s="16">
        <v>16.940000000000001</v>
      </c>
      <c r="F1503" s="15" t="s">
        <v>10</v>
      </c>
      <c r="G1503" s="15">
        <v>50.82</v>
      </c>
      <c r="H1503" s="17">
        <f t="shared" si="46"/>
        <v>5</v>
      </c>
      <c r="I1503" s="17">
        <f>YEAR(Sheet1!$A1503)</f>
        <v>2024</v>
      </c>
      <c r="J1503" s="17">
        <f>DAY(Sheet1!$A1503)</f>
        <v>29</v>
      </c>
      <c r="K1503" s="18" t="s">
        <v>2023</v>
      </c>
      <c r="L1503" s="19" t="str">
        <f t="shared" si="47"/>
        <v>Premium Customer</v>
      </c>
    </row>
    <row r="1504" spans="1:12" ht="15.75" customHeight="1" x14ac:dyDescent="0.3">
      <c r="A1504" s="7">
        <v>45672</v>
      </c>
      <c r="B1504" s="8" t="s">
        <v>1660</v>
      </c>
      <c r="C1504" s="8" t="s">
        <v>24</v>
      </c>
      <c r="D1504" s="8" t="s">
        <v>14</v>
      </c>
      <c r="E1504" s="9">
        <v>25.41</v>
      </c>
      <c r="F1504" s="8" t="s">
        <v>11</v>
      </c>
      <c r="G1504" s="8">
        <v>50.82</v>
      </c>
      <c r="H1504" s="10">
        <f t="shared" si="46"/>
        <v>1</v>
      </c>
      <c r="I1504" s="10">
        <f>YEAR(Sheet1!$A1504)</f>
        <v>2025</v>
      </c>
      <c r="J1504" s="10">
        <f>DAY(Sheet1!$A1504)</f>
        <v>15</v>
      </c>
      <c r="K1504" s="12" t="s">
        <v>2023</v>
      </c>
      <c r="L1504" s="13" t="str">
        <f t="shared" si="47"/>
        <v>Premium Customer</v>
      </c>
    </row>
    <row r="1505" spans="1:12" ht="15.75" customHeight="1" x14ac:dyDescent="0.3">
      <c r="A1505" s="14">
        <v>45536</v>
      </c>
      <c r="B1505" s="15" t="s">
        <v>1419</v>
      </c>
      <c r="C1505" s="15" t="s">
        <v>13</v>
      </c>
      <c r="D1505" s="15" t="s">
        <v>16</v>
      </c>
      <c r="E1505" s="16">
        <v>16.95</v>
      </c>
      <c r="F1505" s="15" t="s">
        <v>11</v>
      </c>
      <c r="G1505" s="15">
        <v>50.85</v>
      </c>
      <c r="H1505" s="17">
        <f t="shared" si="46"/>
        <v>9</v>
      </c>
      <c r="I1505" s="17">
        <f>YEAR(Sheet1!$A1505)</f>
        <v>2024</v>
      </c>
      <c r="J1505" s="17">
        <f>DAY(Sheet1!$A1505)</f>
        <v>1</v>
      </c>
      <c r="K1505" s="18" t="s">
        <v>2023</v>
      </c>
      <c r="L1505" s="19" t="str">
        <f t="shared" si="47"/>
        <v>Premium Customer</v>
      </c>
    </row>
    <row r="1506" spans="1:12" ht="15.75" customHeight="1" x14ac:dyDescent="0.3">
      <c r="A1506" s="7">
        <v>45759</v>
      </c>
      <c r="B1506" s="8" t="s">
        <v>720</v>
      </c>
      <c r="C1506" s="8" t="s">
        <v>18</v>
      </c>
      <c r="D1506" s="8" t="s">
        <v>14</v>
      </c>
      <c r="E1506" s="9">
        <v>16.97</v>
      </c>
      <c r="F1506" s="8" t="s">
        <v>10</v>
      </c>
      <c r="G1506" s="8">
        <v>50.91</v>
      </c>
      <c r="H1506" s="10">
        <f t="shared" si="46"/>
        <v>4</v>
      </c>
      <c r="I1506" s="10">
        <f>YEAR(Sheet1!$A1506)</f>
        <v>2025</v>
      </c>
      <c r="J1506" s="10">
        <f>DAY(Sheet1!$A1506)</f>
        <v>12</v>
      </c>
      <c r="K1506" s="12" t="s">
        <v>2022</v>
      </c>
      <c r="L1506" s="13" t="str">
        <f t="shared" si="47"/>
        <v>Premium Customer</v>
      </c>
    </row>
    <row r="1507" spans="1:12" ht="15.75" customHeight="1" x14ac:dyDescent="0.3">
      <c r="A1507" s="14">
        <v>45743</v>
      </c>
      <c r="B1507" s="15" t="s">
        <v>163</v>
      </c>
      <c r="C1507" s="15" t="s">
        <v>24</v>
      </c>
      <c r="D1507" s="15" t="s">
        <v>14</v>
      </c>
      <c r="E1507" s="16">
        <v>25.47</v>
      </c>
      <c r="F1507" s="15" t="s">
        <v>11</v>
      </c>
      <c r="G1507" s="15">
        <v>50.94</v>
      </c>
      <c r="H1507" s="17">
        <f t="shared" si="46"/>
        <v>3</v>
      </c>
      <c r="I1507" s="17">
        <f>YEAR(Sheet1!$A1507)</f>
        <v>2025</v>
      </c>
      <c r="J1507" s="17">
        <f>DAY(Sheet1!$A1507)</f>
        <v>27</v>
      </c>
      <c r="K1507" s="18" t="s">
        <v>2023</v>
      </c>
      <c r="L1507" s="19" t="str">
        <f t="shared" si="47"/>
        <v>Premium Customer</v>
      </c>
    </row>
    <row r="1508" spans="1:12" ht="15.75" customHeight="1" x14ac:dyDescent="0.3">
      <c r="A1508" s="7">
        <v>45653</v>
      </c>
      <c r="B1508" s="8" t="s">
        <v>1751</v>
      </c>
      <c r="C1508" s="8" t="s">
        <v>8</v>
      </c>
      <c r="D1508" s="8" t="s">
        <v>16</v>
      </c>
      <c r="E1508" s="9">
        <v>25.49</v>
      </c>
      <c r="F1508" s="8" t="s">
        <v>11</v>
      </c>
      <c r="G1508" s="8">
        <v>50.98</v>
      </c>
      <c r="H1508" s="10">
        <f t="shared" si="46"/>
        <v>12</v>
      </c>
      <c r="I1508" s="10">
        <f>YEAR(Sheet1!$A1508)</f>
        <v>2024</v>
      </c>
      <c r="J1508" s="10">
        <f>DAY(Sheet1!$A1508)</f>
        <v>27</v>
      </c>
      <c r="K1508" s="12" t="s">
        <v>2023</v>
      </c>
      <c r="L1508" s="13" t="str">
        <f t="shared" si="47"/>
        <v>Premium Customer</v>
      </c>
    </row>
    <row r="1509" spans="1:12" ht="15.75" customHeight="1" x14ac:dyDescent="0.3">
      <c r="A1509" s="14">
        <v>45591</v>
      </c>
      <c r="B1509" s="15" t="s">
        <v>1479</v>
      </c>
      <c r="C1509" s="15" t="s">
        <v>24</v>
      </c>
      <c r="D1509" s="15" t="s">
        <v>19</v>
      </c>
      <c r="E1509" s="16">
        <v>17.02</v>
      </c>
      <c r="F1509" s="15" t="s">
        <v>11</v>
      </c>
      <c r="G1509" s="15">
        <v>51.06</v>
      </c>
      <c r="H1509" s="17">
        <f t="shared" si="46"/>
        <v>10</v>
      </c>
      <c r="I1509" s="17">
        <f>YEAR(Sheet1!$A1509)</f>
        <v>2024</v>
      </c>
      <c r="J1509" s="17">
        <f>DAY(Sheet1!$A1509)</f>
        <v>26</v>
      </c>
      <c r="K1509" s="18" t="s">
        <v>2022</v>
      </c>
      <c r="L1509" s="19" t="str">
        <f t="shared" si="47"/>
        <v>Premium Customer</v>
      </c>
    </row>
    <row r="1510" spans="1:12" ht="15.75" customHeight="1" x14ac:dyDescent="0.3">
      <c r="A1510" s="7">
        <v>45419</v>
      </c>
      <c r="B1510" s="8" t="s">
        <v>737</v>
      </c>
      <c r="C1510" s="8" t="s">
        <v>13</v>
      </c>
      <c r="D1510" s="8" t="s">
        <v>9</v>
      </c>
      <c r="E1510" s="9">
        <v>25.54</v>
      </c>
      <c r="F1510" s="8" t="s">
        <v>11</v>
      </c>
      <c r="G1510" s="8">
        <v>51.08</v>
      </c>
      <c r="H1510" s="10">
        <f t="shared" si="46"/>
        <v>5</v>
      </c>
      <c r="I1510" s="10">
        <f>YEAR(Sheet1!$A1510)</f>
        <v>2024</v>
      </c>
      <c r="J1510" s="10">
        <f>DAY(Sheet1!$A1510)</f>
        <v>7</v>
      </c>
      <c r="K1510" s="12" t="s">
        <v>2022</v>
      </c>
      <c r="L1510" s="13" t="str">
        <f t="shared" si="47"/>
        <v>Premium Customer</v>
      </c>
    </row>
    <row r="1511" spans="1:12" ht="15.75" customHeight="1" x14ac:dyDescent="0.3">
      <c r="A1511" s="14">
        <v>45748</v>
      </c>
      <c r="B1511" s="15" t="s">
        <v>1229</v>
      </c>
      <c r="C1511" s="15" t="s">
        <v>13</v>
      </c>
      <c r="D1511" s="15" t="s">
        <v>14</v>
      </c>
      <c r="E1511" s="16">
        <v>17.03</v>
      </c>
      <c r="F1511" s="15" t="s">
        <v>11</v>
      </c>
      <c r="G1511" s="15">
        <v>51.09</v>
      </c>
      <c r="H1511" s="17">
        <f t="shared" si="46"/>
        <v>4</v>
      </c>
      <c r="I1511" s="17">
        <f>YEAR(Sheet1!$A1511)</f>
        <v>2025</v>
      </c>
      <c r="J1511" s="17">
        <f>DAY(Sheet1!$A1511)</f>
        <v>1</v>
      </c>
      <c r="K1511" s="18" t="s">
        <v>2023</v>
      </c>
      <c r="L1511" s="19" t="str">
        <f t="shared" si="47"/>
        <v>Premium Customer</v>
      </c>
    </row>
    <row r="1512" spans="1:12" ht="15.75" customHeight="1" x14ac:dyDescent="0.3">
      <c r="A1512" s="7">
        <v>45461</v>
      </c>
      <c r="B1512" s="8" t="s">
        <v>101</v>
      </c>
      <c r="C1512" s="8" t="s">
        <v>8</v>
      </c>
      <c r="D1512" s="8" t="s">
        <v>16</v>
      </c>
      <c r="E1512" s="9">
        <v>25.58</v>
      </c>
      <c r="F1512" s="8" t="s">
        <v>11</v>
      </c>
      <c r="G1512" s="8">
        <v>51.16</v>
      </c>
      <c r="H1512" s="10">
        <f t="shared" si="46"/>
        <v>6</v>
      </c>
      <c r="I1512" s="10">
        <f>YEAR(Sheet1!$A1512)</f>
        <v>2024</v>
      </c>
      <c r="J1512" s="10">
        <f>DAY(Sheet1!$A1512)</f>
        <v>18</v>
      </c>
      <c r="K1512" s="12" t="s">
        <v>2022</v>
      </c>
      <c r="L1512" s="13" t="str">
        <f t="shared" si="47"/>
        <v>Premium Customer</v>
      </c>
    </row>
    <row r="1513" spans="1:12" ht="15.75" customHeight="1" x14ac:dyDescent="0.3">
      <c r="A1513" s="14">
        <v>45505</v>
      </c>
      <c r="B1513" s="15" t="s">
        <v>674</v>
      </c>
      <c r="C1513" s="15" t="s">
        <v>13</v>
      </c>
      <c r="D1513" s="15" t="s">
        <v>19</v>
      </c>
      <c r="E1513" s="16">
        <v>25.58</v>
      </c>
      <c r="F1513" s="15" t="s">
        <v>10</v>
      </c>
      <c r="G1513" s="15">
        <v>51.16</v>
      </c>
      <c r="H1513" s="17">
        <f t="shared" si="46"/>
        <v>8</v>
      </c>
      <c r="I1513" s="17">
        <f>YEAR(Sheet1!$A1513)</f>
        <v>2024</v>
      </c>
      <c r="J1513" s="17">
        <f>DAY(Sheet1!$A1513)</f>
        <v>1</v>
      </c>
      <c r="K1513" s="18" t="s">
        <v>2023</v>
      </c>
      <c r="L1513" s="19" t="str">
        <f t="shared" si="47"/>
        <v>Premium Customer</v>
      </c>
    </row>
    <row r="1514" spans="1:12" ht="15.75" customHeight="1" x14ac:dyDescent="0.3">
      <c r="A1514" s="7">
        <v>45516</v>
      </c>
      <c r="B1514" s="8" t="s">
        <v>1439</v>
      </c>
      <c r="C1514" s="8" t="s">
        <v>24</v>
      </c>
      <c r="D1514" s="8" t="s">
        <v>16</v>
      </c>
      <c r="E1514" s="9">
        <v>25.58</v>
      </c>
      <c r="F1514" s="8" t="s">
        <v>10</v>
      </c>
      <c r="G1514" s="8">
        <v>51.16</v>
      </c>
      <c r="H1514" s="10">
        <f t="shared" si="46"/>
        <v>8</v>
      </c>
      <c r="I1514" s="10">
        <f>YEAR(Sheet1!$A1514)</f>
        <v>2024</v>
      </c>
      <c r="J1514" s="10">
        <f>DAY(Sheet1!$A1514)</f>
        <v>12</v>
      </c>
      <c r="K1514" s="12" t="s">
        <v>2022</v>
      </c>
      <c r="L1514" s="13" t="str">
        <f t="shared" si="47"/>
        <v>Premium Customer</v>
      </c>
    </row>
    <row r="1515" spans="1:12" ht="15.75" customHeight="1" x14ac:dyDescent="0.3">
      <c r="A1515" s="14">
        <v>45486</v>
      </c>
      <c r="B1515" s="15" t="s">
        <v>1447</v>
      </c>
      <c r="C1515" s="15" t="s">
        <v>18</v>
      </c>
      <c r="D1515" s="15" t="s">
        <v>9</v>
      </c>
      <c r="E1515" s="16">
        <v>17.059999999999999</v>
      </c>
      <c r="F1515" s="15" t="s">
        <v>10</v>
      </c>
      <c r="G1515" s="15">
        <v>51.18</v>
      </c>
      <c r="H1515" s="17">
        <f t="shared" si="46"/>
        <v>7</v>
      </c>
      <c r="I1515" s="17">
        <f>YEAR(Sheet1!$A1515)</f>
        <v>2024</v>
      </c>
      <c r="J1515" s="17">
        <f>DAY(Sheet1!$A1515)</f>
        <v>13</v>
      </c>
      <c r="K1515" s="18" t="s">
        <v>2022</v>
      </c>
      <c r="L1515" s="19" t="str">
        <f t="shared" si="47"/>
        <v>Premium Customer</v>
      </c>
    </row>
    <row r="1516" spans="1:12" ht="15.75" customHeight="1" x14ac:dyDescent="0.3">
      <c r="A1516" s="7">
        <v>45733</v>
      </c>
      <c r="B1516" s="8" t="s">
        <v>919</v>
      </c>
      <c r="C1516" s="8" t="s">
        <v>13</v>
      </c>
      <c r="D1516" s="8" t="s">
        <v>14</v>
      </c>
      <c r="E1516" s="9">
        <v>17.100000000000001</v>
      </c>
      <c r="F1516" s="8" t="s">
        <v>11</v>
      </c>
      <c r="G1516" s="8">
        <v>51.3</v>
      </c>
      <c r="H1516" s="10">
        <f t="shared" si="46"/>
        <v>3</v>
      </c>
      <c r="I1516" s="10">
        <f>YEAR(Sheet1!$A1516)</f>
        <v>2025</v>
      </c>
      <c r="J1516" s="10">
        <f>DAY(Sheet1!$A1516)</f>
        <v>17</v>
      </c>
      <c r="K1516" s="12" t="s">
        <v>2022</v>
      </c>
      <c r="L1516" s="13" t="str">
        <f t="shared" si="47"/>
        <v>Premium Customer</v>
      </c>
    </row>
    <row r="1517" spans="1:12" ht="15.75" customHeight="1" x14ac:dyDescent="0.3">
      <c r="A1517" s="14">
        <v>45656</v>
      </c>
      <c r="B1517" s="15" t="s">
        <v>798</v>
      </c>
      <c r="C1517" s="15" t="s">
        <v>24</v>
      </c>
      <c r="D1517" s="15" t="s">
        <v>14</v>
      </c>
      <c r="E1517" s="16">
        <v>25.66</v>
      </c>
      <c r="F1517" s="15" t="s">
        <v>11</v>
      </c>
      <c r="G1517" s="15">
        <v>51.32</v>
      </c>
      <c r="H1517" s="17">
        <f t="shared" si="46"/>
        <v>12</v>
      </c>
      <c r="I1517" s="17">
        <f>YEAR(Sheet1!$A1517)</f>
        <v>2024</v>
      </c>
      <c r="J1517" s="17">
        <f>DAY(Sheet1!$A1517)</f>
        <v>30</v>
      </c>
      <c r="K1517" s="18" t="s">
        <v>2023</v>
      </c>
      <c r="L1517" s="19" t="str">
        <f t="shared" si="47"/>
        <v>Premium Customer</v>
      </c>
    </row>
    <row r="1518" spans="1:12" ht="15.75" customHeight="1" x14ac:dyDescent="0.3">
      <c r="A1518" s="7">
        <v>45440</v>
      </c>
      <c r="B1518" s="8" t="s">
        <v>718</v>
      </c>
      <c r="C1518" s="8" t="s">
        <v>24</v>
      </c>
      <c r="D1518" s="8" t="s">
        <v>16</v>
      </c>
      <c r="E1518" s="9">
        <v>25.67</v>
      </c>
      <c r="F1518" s="8" t="s">
        <v>10</v>
      </c>
      <c r="G1518" s="8">
        <v>51.34</v>
      </c>
      <c r="H1518" s="10">
        <f t="shared" si="46"/>
        <v>5</v>
      </c>
      <c r="I1518" s="10">
        <f>YEAR(Sheet1!$A1518)</f>
        <v>2024</v>
      </c>
      <c r="J1518" s="10">
        <f>DAY(Sheet1!$A1518)</f>
        <v>28</v>
      </c>
      <c r="K1518" s="12" t="s">
        <v>2023</v>
      </c>
      <c r="L1518" s="13" t="str">
        <f t="shared" si="47"/>
        <v>Premium Customer</v>
      </c>
    </row>
    <row r="1519" spans="1:12" ht="15.75" customHeight="1" x14ac:dyDescent="0.3">
      <c r="A1519" s="14">
        <v>45457</v>
      </c>
      <c r="B1519" s="15" t="s">
        <v>939</v>
      </c>
      <c r="C1519" s="15" t="s">
        <v>8</v>
      </c>
      <c r="D1519" s="15" t="s">
        <v>14</v>
      </c>
      <c r="E1519" s="16">
        <v>25.67</v>
      </c>
      <c r="F1519" s="15" t="s">
        <v>11</v>
      </c>
      <c r="G1519" s="15">
        <v>51.34</v>
      </c>
      <c r="H1519" s="17">
        <f t="shared" si="46"/>
        <v>6</v>
      </c>
      <c r="I1519" s="17">
        <f>YEAR(Sheet1!$A1519)</f>
        <v>2024</v>
      </c>
      <c r="J1519" s="17">
        <f>DAY(Sheet1!$A1519)</f>
        <v>14</v>
      </c>
      <c r="K1519" s="18" t="s">
        <v>2022</v>
      </c>
      <c r="L1519" s="19" t="str">
        <f t="shared" si="47"/>
        <v>Premium Customer</v>
      </c>
    </row>
    <row r="1520" spans="1:12" ht="15.75" customHeight="1" x14ac:dyDescent="0.3">
      <c r="A1520" s="7">
        <v>45416</v>
      </c>
      <c r="B1520" s="8" t="s">
        <v>525</v>
      </c>
      <c r="C1520" s="8" t="s">
        <v>8</v>
      </c>
      <c r="D1520" s="8" t="s">
        <v>14</v>
      </c>
      <c r="E1520" s="9">
        <v>25.74</v>
      </c>
      <c r="F1520" s="8" t="s">
        <v>11</v>
      </c>
      <c r="G1520" s="8">
        <v>51.48</v>
      </c>
      <c r="H1520" s="10">
        <f t="shared" si="46"/>
        <v>5</v>
      </c>
      <c r="I1520" s="10">
        <f>YEAR(Sheet1!$A1520)</f>
        <v>2024</v>
      </c>
      <c r="J1520" s="10">
        <f>DAY(Sheet1!$A1520)</f>
        <v>4</v>
      </c>
      <c r="K1520" s="12" t="s">
        <v>2023</v>
      </c>
      <c r="L1520" s="13" t="str">
        <f t="shared" si="47"/>
        <v>Premium Customer</v>
      </c>
    </row>
    <row r="1521" spans="1:12" ht="15.75" customHeight="1" x14ac:dyDescent="0.3">
      <c r="A1521" s="14">
        <v>45453</v>
      </c>
      <c r="B1521" s="15" t="s">
        <v>7</v>
      </c>
      <c r="C1521" s="15" t="s">
        <v>8</v>
      </c>
      <c r="D1521" s="15" t="s">
        <v>9</v>
      </c>
      <c r="E1521" s="16">
        <v>17.170000000000002</v>
      </c>
      <c r="F1521" s="15" t="s">
        <v>10</v>
      </c>
      <c r="G1521" s="15">
        <v>51.51</v>
      </c>
      <c r="H1521" s="17">
        <f t="shared" si="46"/>
        <v>6</v>
      </c>
      <c r="I1521" s="17">
        <f>YEAR(Sheet1!$A1521)</f>
        <v>2024</v>
      </c>
      <c r="J1521" s="17">
        <f>DAY(Sheet1!$A1521)</f>
        <v>10</v>
      </c>
      <c r="K1521" s="18" t="s">
        <v>2023</v>
      </c>
      <c r="L1521" s="19" t="str">
        <f t="shared" si="47"/>
        <v>Premium Customer</v>
      </c>
    </row>
    <row r="1522" spans="1:12" ht="15.75" customHeight="1" x14ac:dyDescent="0.3">
      <c r="A1522" s="7">
        <v>45579</v>
      </c>
      <c r="B1522" s="8" t="s">
        <v>1075</v>
      </c>
      <c r="C1522" s="8" t="s">
        <v>18</v>
      </c>
      <c r="D1522" s="8" t="s">
        <v>19</v>
      </c>
      <c r="E1522" s="9">
        <v>17.190000000000001</v>
      </c>
      <c r="F1522" s="8" t="s">
        <v>11</v>
      </c>
      <c r="G1522" s="8">
        <v>51.57</v>
      </c>
      <c r="H1522" s="10">
        <f t="shared" si="46"/>
        <v>10</v>
      </c>
      <c r="I1522" s="10">
        <f>YEAR(Sheet1!$A1522)</f>
        <v>2024</v>
      </c>
      <c r="J1522" s="10">
        <f>DAY(Sheet1!$A1522)</f>
        <v>14</v>
      </c>
      <c r="K1522" s="12" t="s">
        <v>2023</v>
      </c>
      <c r="L1522" s="13" t="str">
        <f t="shared" si="47"/>
        <v>Premium Customer</v>
      </c>
    </row>
    <row r="1523" spans="1:12" ht="15.75" customHeight="1" x14ac:dyDescent="0.3">
      <c r="A1523" s="14">
        <v>45585</v>
      </c>
      <c r="B1523" s="15" t="s">
        <v>1410</v>
      </c>
      <c r="C1523" s="15" t="s">
        <v>24</v>
      </c>
      <c r="D1523" s="15" t="s">
        <v>16</v>
      </c>
      <c r="E1523" s="16">
        <v>25.79</v>
      </c>
      <c r="F1523" s="15" t="s">
        <v>11</v>
      </c>
      <c r="G1523" s="15">
        <v>51.58</v>
      </c>
      <c r="H1523" s="17">
        <f t="shared" si="46"/>
        <v>10</v>
      </c>
      <c r="I1523" s="17">
        <f>YEAR(Sheet1!$A1523)</f>
        <v>2024</v>
      </c>
      <c r="J1523" s="17">
        <f>DAY(Sheet1!$A1523)</f>
        <v>20</v>
      </c>
      <c r="K1523" s="18" t="s">
        <v>2022</v>
      </c>
      <c r="L1523" s="19" t="str">
        <f t="shared" si="47"/>
        <v>Premium Customer</v>
      </c>
    </row>
    <row r="1524" spans="1:12" ht="15.75" customHeight="1" x14ac:dyDescent="0.3">
      <c r="A1524" s="7">
        <v>45473</v>
      </c>
      <c r="B1524" s="8" t="s">
        <v>1833</v>
      </c>
      <c r="C1524" s="8" t="s">
        <v>13</v>
      </c>
      <c r="D1524" s="8" t="s">
        <v>9</v>
      </c>
      <c r="E1524" s="9">
        <v>25.8</v>
      </c>
      <c r="F1524" s="8" t="s">
        <v>10</v>
      </c>
      <c r="G1524" s="8">
        <v>51.6</v>
      </c>
      <c r="H1524" s="10">
        <f t="shared" si="46"/>
        <v>6</v>
      </c>
      <c r="I1524" s="10">
        <f>YEAR(Sheet1!$A1524)</f>
        <v>2024</v>
      </c>
      <c r="J1524" s="10">
        <f>DAY(Sheet1!$A1524)</f>
        <v>30</v>
      </c>
      <c r="K1524" s="12" t="s">
        <v>2023</v>
      </c>
      <c r="L1524" s="13" t="str">
        <f t="shared" si="47"/>
        <v>Premium Customer</v>
      </c>
    </row>
    <row r="1525" spans="1:12" ht="15.75" customHeight="1" x14ac:dyDescent="0.3">
      <c r="A1525" s="14">
        <v>45434</v>
      </c>
      <c r="B1525" s="15" t="s">
        <v>1451</v>
      </c>
      <c r="C1525" s="15" t="s">
        <v>8</v>
      </c>
      <c r="D1525" s="15" t="s">
        <v>19</v>
      </c>
      <c r="E1525" s="16">
        <v>25.81</v>
      </c>
      <c r="F1525" s="15" t="s">
        <v>11</v>
      </c>
      <c r="G1525" s="15">
        <v>51.62</v>
      </c>
      <c r="H1525" s="17">
        <f t="shared" si="46"/>
        <v>5</v>
      </c>
      <c r="I1525" s="17">
        <f>YEAR(Sheet1!$A1525)</f>
        <v>2024</v>
      </c>
      <c r="J1525" s="17">
        <f>DAY(Sheet1!$A1525)</f>
        <v>22</v>
      </c>
      <c r="K1525" s="18" t="s">
        <v>2022</v>
      </c>
      <c r="L1525" s="19" t="str">
        <f t="shared" si="47"/>
        <v>Premium Customer</v>
      </c>
    </row>
    <row r="1526" spans="1:12" ht="15.75" customHeight="1" x14ac:dyDescent="0.3">
      <c r="A1526" s="7">
        <v>45447</v>
      </c>
      <c r="B1526" s="8" t="s">
        <v>637</v>
      </c>
      <c r="C1526" s="8" t="s">
        <v>8</v>
      </c>
      <c r="D1526" s="8" t="s">
        <v>9</v>
      </c>
      <c r="E1526" s="9">
        <v>25.84</v>
      </c>
      <c r="F1526" s="8" t="s">
        <v>10</v>
      </c>
      <c r="G1526" s="8">
        <v>51.68</v>
      </c>
      <c r="H1526" s="10">
        <f t="shared" si="46"/>
        <v>6</v>
      </c>
      <c r="I1526" s="10">
        <f>YEAR(Sheet1!$A1526)</f>
        <v>2024</v>
      </c>
      <c r="J1526" s="10">
        <f>DAY(Sheet1!$A1526)</f>
        <v>4</v>
      </c>
      <c r="K1526" s="12" t="s">
        <v>2023</v>
      </c>
      <c r="L1526" s="13" t="str">
        <f t="shared" si="47"/>
        <v>Premium Customer</v>
      </c>
    </row>
    <row r="1527" spans="1:12" ht="15.75" customHeight="1" x14ac:dyDescent="0.3">
      <c r="A1527" s="14">
        <v>45501</v>
      </c>
      <c r="B1527" s="15" t="s">
        <v>39</v>
      </c>
      <c r="C1527" s="15" t="s">
        <v>13</v>
      </c>
      <c r="D1527" s="15" t="s">
        <v>19</v>
      </c>
      <c r="E1527" s="16">
        <v>25.84</v>
      </c>
      <c r="F1527" s="15" t="s">
        <v>10</v>
      </c>
      <c r="G1527" s="15">
        <v>51.68</v>
      </c>
      <c r="H1527" s="17">
        <f t="shared" si="46"/>
        <v>7</v>
      </c>
      <c r="I1527" s="17">
        <f>YEAR(Sheet1!$A1527)</f>
        <v>2024</v>
      </c>
      <c r="J1527" s="17">
        <f>DAY(Sheet1!$A1527)</f>
        <v>28</v>
      </c>
      <c r="K1527" s="18" t="s">
        <v>2023</v>
      </c>
      <c r="L1527" s="19" t="str">
        <f t="shared" si="47"/>
        <v>Premium Customer</v>
      </c>
    </row>
    <row r="1528" spans="1:12" ht="15.75" customHeight="1" x14ac:dyDescent="0.3">
      <c r="A1528" s="7">
        <v>45533</v>
      </c>
      <c r="B1528" s="8" t="s">
        <v>1003</v>
      </c>
      <c r="C1528" s="8" t="s">
        <v>13</v>
      </c>
      <c r="D1528" s="8" t="s">
        <v>16</v>
      </c>
      <c r="E1528" s="9">
        <v>25.92</v>
      </c>
      <c r="F1528" s="8" t="s">
        <v>10</v>
      </c>
      <c r="G1528" s="8">
        <v>51.84</v>
      </c>
      <c r="H1528" s="10">
        <f t="shared" si="46"/>
        <v>8</v>
      </c>
      <c r="I1528" s="10">
        <f>YEAR(Sheet1!$A1528)</f>
        <v>2024</v>
      </c>
      <c r="J1528" s="10">
        <f>DAY(Sheet1!$A1528)</f>
        <v>29</v>
      </c>
      <c r="K1528" s="12" t="s">
        <v>2023</v>
      </c>
      <c r="L1528" s="13" t="str">
        <f t="shared" si="47"/>
        <v>Premium Customer</v>
      </c>
    </row>
    <row r="1529" spans="1:12" ht="15.75" customHeight="1" x14ac:dyDescent="0.3">
      <c r="A1529" s="14">
        <v>45763</v>
      </c>
      <c r="B1529" s="15" t="s">
        <v>859</v>
      </c>
      <c r="C1529" s="15" t="s">
        <v>24</v>
      </c>
      <c r="D1529" s="15" t="s">
        <v>9</v>
      </c>
      <c r="E1529" s="16">
        <v>25.95</v>
      </c>
      <c r="F1529" s="15" t="s">
        <v>11</v>
      </c>
      <c r="G1529" s="15">
        <v>51.9</v>
      </c>
      <c r="H1529" s="17">
        <f t="shared" si="46"/>
        <v>4</v>
      </c>
      <c r="I1529" s="17">
        <f>YEAR(Sheet1!$A1529)</f>
        <v>2025</v>
      </c>
      <c r="J1529" s="17">
        <f>DAY(Sheet1!$A1529)</f>
        <v>16</v>
      </c>
      <c r="K1529" s="18" t="s">
        <v>2023</v>
      </c>
      <c r="L1529" s="19" t="str">
        <f t="shared" si="47"/>
        <v>Premium Customer</v>
      </c>
    </row>
    <row r="1530" spans="1:12" ht="15.75" customHeight="1" x14ac:dyDescent="0.3">
      <c r="A1530" s="7">
        <v>45437</v>
      </c>
      <c r="B1530" s="8" t="s">
        <v>209</v>
      </c>
      <c r="C1530" s="8" t="s">
        <v>18</v>
      </c>
      <c r="D1530" s="8" t="s">
        <v>16</v>
      </c>
      <c r="E1530" s="9">
        <v>25.99</v>
      </c>
      <c r="F1530" s="8" t="s">
        <v>11</v>
      </c>
      <c r="G1530" s="8">
        <v>51.98</v>
      </c>
      <c r="H1530" s="10">
        <f t="shared" si="46"/>
        <v>5</v>
      </c>
      <c r="I1530" s="10">
        <f>YEAR(Sheet1!$A1530)</f>
        <v>2024</v>
      </c>
      <c r="J1530" s="10">
        <f>DAY(Sheet1!$A1530)</f>
        <v>25</v>
      </c>
      <c r="K1530" s="12" t="s">
        <v>2022</v>
      </c>
      <c r="L1530" s="13" t="str">
        <f t="shared" si="47"/>
        <v>Premium Customer</v>
      </c>
    </row>
    <row r="1531" spans="1:12" ht="15.75" customHeight="1" x14ac:dyDescent="0.3">
      <c r="A1531" s="14">
        <v>45544</v>
      </c>
      <c r="B1531" s="15" t="s">
        <v>330</v>
      </c>
      <c r="C1531" s="15" t="s">
        <v>24</v>
      </c>
      <c r="D1531" s="15" t="s">
        <v>19</v>
      </c>
      <c r="E1531" s="16">
        <v>26.03</v>
      </c>
      <c r="F1531" s="15" t="s">
        <v>10</v>
      </c>
      <c r="G1531" s="15">
        <v>52.06</v>
      </c>
      <c r="H1531" s="17">
        <f t="shared" si="46"/>
        <v>9</v>
      </c>
      <c r="I1531" s="17">
        <f>YEAR(Sheet1!$A1531)</f>
        <v>2024</v>
      </c>
      <c r="J1531" s="17">
        <f>DAY(Sheet1!$A1531)</f>
        <v>9</v>
      </c>
      <c r="K1531" s="18" t="s">
        <v>2022</v>
      </c>
      <c r="L1531" s="19" t="str">
        <f t="shared" si="47"/>
        <v>Premium Customer</v>
      </c>
    </row>
    <row r="1532" spans="1:12" ht="15.75" customHeight="1" x14ac:dyDescent="0.3">
      <c r="A1532" s="7">
        <v>45597</v>
      </c>
      <c r="B1532" s="8" t="s">
        <v>864</v>
      </c>
      <c r="C1532" s="8" t="s">
        <v>8</v>
      </c>
      <c r="D1532" s="8" t="s">
        <v>16</v>
      </c>
      <c r="E1532" s="9">
        <v>17.36</v>
      </c>
      <c r="F1532" s="8" t="s">
        <v>10</v>
      </c>
      <c r="G1532" s="8">
        <v>52.08</v>
      </c>
      <c r="H1532" s="10">
        <f t="shared" si="46"/>
        <v>11</v>
      </c>
      <c r="I1532" s="10">
        <f>YEAR(Sheet1!$A1532)</f>
        <v>2024</v>
      </c>
      <c r="J1532" s="10">
        <f>DAY(Sheet1!$A1532)</f>
        <v>1</v>
      </c>
      <c r="K1532" s="12" t="s">
        <v>2023</v>
      </c>
      <c r="L1532" s="13" t="str">
        <f t="shared" si="47"/>
        <v>Premium Customer</v>
      </c>
    </row>
    <row r="1533" spans="1:12" ht="15.75" customHeight="1" x14ac:dyDescent="0.3">
      <c r="A1533" s="14">
        <v>45478</v>
      </c>
      <c r="B1533" s="15" t="s">
        <v>1501</v>
      </c>
      <c r="C1533" s="15" t="s">
        <v>8</v>
      </c>
      <c r="D1533" s="15" t="s">
        <v>16</v>
      </c>
      <c r="E1533" s="16">
        <v>26.08</v>
      </c>
      <c r="F1533" s="15" t="s">
        <v>11</v>
      </c>
      <c r="G1533" s="15">
        <v>52.16</v>
      </c>
      <c r="H1533" s="17">
        <f t="shared" si="46"/>
        <v>7</v>
      </c>
      <c r="I1533" s="17">
        <f>YEAR(Sheet1!$A1533)</f>
        <v>2024</v>
      </c>
      <c r="J1533" s="17">
        <f>DAY(Sheet1!$A1533)</f>
        <v>5</v>
      </c>
      <c r="K1533" s="18" t="s">
        <v>2023</v>
      </c>
      <c r="L1533" s="19" t="str">
        <f t="shared" si="47"/>
        <v>Premium Customer</v>
      </c>
    </row>
    <row r="1534" spans="1:12" ht="15.75" customHeight="1" x14ac:dyDescent="0.3">
      <c r="A1534" s="7">
        <v>45706</v>
      </c>
      <c r="B1534" s="8" t="s">
        <v>690</v>
      </c>
      <c r="C1534" s="8" t="s">
        <v>18</v>
      </c>
      <c r="D1534" s="8" t="s">
        <v>19</v>
      </c>
      <c r="E1534" s="9">
        <v>26.08</v>
      </c>
      <c r="F1534" s="8" t="s">
        <v>10</v>
      </c>
      <c r="G1534" s="8">
        <v>52.16</v>
      </c>
      <c r="H1534" s="10">
        <f t="shared" si="46"/>
        <v>2</v>
      </c>
      <c r="I1534" s="10">
        <f>YEAR(Sheet1!$A1534)</f>
        <v>2025</v>
      </c>
      <c r="J1534" s="10">
        <f>DAY(Sheet1!$A1534)</f>
        <v>18</v>
      </c>
      <c r="K1534" s="12" t="s">
        <v>2023</v>
      </c>
      <c r="L1534" s="13" t="str">
        <f t="shared" si="47"/>
        <v>Premium Customer</v>
      </c>
    </row>
    <row r="1535" spans="1:12" ht="15.75" customHeight="1" x14ac:dyDescent="0.3">
      <c r="A1535" s="14">
        <v>45621</v>
      </c>
      <c r="B1535" s="15" t="s">
        <v>995</v>
      </c>
      <c r="C1535" s="15" t="s">
        <v>13</v>
      </c>
      <c r="D1535" s="15" t="s">
        <v>14</v>
      </c>
      <c r="E1535" s="16">
        <v>17.39</v>
      </c>
      <c r="F1535" s="15" t="s">
        <v>10</v>
      </c>
      <c r="G1535" s="15">
        <v>52.17</v>
      </c>
      <c r="H1535" s="17">
        <f t="shared" si="46"/>
        <v>11</v>
      </c>
      <c r="I1535" s="17">
        <f>YEAR(Sheet1!$A1535)</f>
        <v>2024</v>
      </c>
      <c r="J1535" s="17">
        <f>DAY(Sheet1!$A1535)</f>
        <v>25</v>
      </c>
      <c r="K1535" s="18" t="s">
        <v>2022</v>
      </c>
      <c r="L1535" s="19" t="str">
        <f t="shared" si="47"/>
        <v>Premium Customer</v>
      </c>
    </row>
    <row r="1536" spans="1:12" ht="15.75" customHeight="1" x14ac:dyDescent="0.3">
      <c r="A1536" s="7">
        <v>45502</v>
      </c>
      <c r="B1536" s="8" t="s">
        <v>1242</v>
      </c>
      <c r="C1536" s="8" t="s">
        <v>24</v>
      </c>
      <c r="D1536" s="8" t="s">
        <v>19</v>
      </c>
      <c r="E1536" s="9">
        <v>17.41</v>
      </c>
      <c r="F1536" s="8" t="s">
        <v>10</v>
      </c>
      <c r="G1536" s="8">
        <v>52.23</v>
      </c>
      <c r="H1536" s="10">
        <f t="shared" si="46"/>
        <v>7</v>
      </c>
      <c r="I1536" s="10">
        <f>YEAR(Sheet1!$A1536)</f>
        <v>2024</v>
      </c>
      <c r="J1536" s="10">
        <f>DAY(Sheet1!$A1536)</f>
        <v>29</v>
      </c>
      <c r="K1536" s="12" t="s">
        <v>2023</v>
      </c>
      <c r="L1536" s="13" t="str">
        <f t="shared" si="47"/>
        <v>Premium Customer</v>
      </c>
    </row>
    <row r="1537" spans="1:12" ht="15.75" customHeight="1" x14ac:dyDescent="0.3">
      <c r="A1537" s="14">
        <v>45513</v>
      </c>
      <c r="B1537" s="15" t="s">
        <v>967</v>
      </c>
      <c r="C1537" s="15" t="s">
        <v>8</v>
      </c>
      <c r="D1537" s="15" t="s">
        <v>9</v>
      </c>
      <c r="E1537" s="16">
        <v>17.43</v>
      </c>
      <c r="F1537" s="15" t="s">
        <v>11</v>
      </c>
      <c r="G1537" s="15">
        <v>52.29</v>
      </c>
      <c r="H1537" s="17">
        <f t="shared" si="46"/>
        <v>8</v>
      </c>
      <c r="I1537" s="17">
        <f>YEAR(Sheet1!$A1537)</f>
        <v>2024</v>
      </c>
      <c r="J1537" s="17">
        <f>DAY(Sheet1!$A1537)</f>
        <v>9</v>
      </c>
      <c r="K1537" s="18" t="s">
        <v>2022</v>
      </c>
      <c r="L1537" s="19" t="str">
        <f t="shared" si="47"/>
        <v>Premium Customer</v>
      </c>
    </row>
    <row r="1538" spans="1:12" ht="15.75" customHeight="1" x14ac:dyDescent="0.3">
      <c r="A1538" s="7">
        <v>45649</v>
      </c>
      <c r="B1538" s="8" t="s">
        <v>597</v>
      </c>
      <c r="C1538" s="8" t="s">
        <v>13</v>
      </c>
      <c r="D1538" s="8" t="s">
        <v>16</v>
      </c>
      <c r="E1538" s="9">
        <v>26.18</v>
      </c>
      <c r="F1538" s="8" t="s">
        <v>11</v>
      </c>
      <c r="G1538" s="8">
        <v>52.36</v>
      </c>
      <c r="H1538" s="10">
        <f t="shared" ref="H1538:H1601" si="48">MONTH(A1538)</f>
        <v>12</v>
      </c>
      <c r="I1538" s="10">
        <f>YEAR(Sheet1!$A1538)</f>
        <v>2024</v>
      </c>
      <c r="J1538" s="10">
        <f>DAY(Sheet1!$A1538)</f>
        <v>23</v>
      </c>
      <c r="K1538" s="12" t="s">
        <v>2022</v>
      </c>
      <c r="L1538" s="13" t="str">
        <f t="shared" ref="L1538:L1601" si="49">IF(G1538&gt;50,"Premium Customer","Regular Customer")</f>
        <v>Premium Customer</v>
      </c>
    </row>
    <row r="1539" spans="1:12" ht="15.75" customHeight="1" x14ac:dyDescent="0.3">
      <c r="A1539" s="14">
        <v>45745</v>
      </c>
      <c r="B1539" s="15" t="s">
        <v>1799</v>
      </c>
      <c r="C1539" s="15" t="s">
        <v>13</v>
      </c>
      <c r="D1539" s="15" t="s">
        <v>14</v>
      </c>
      <c r="E1539" s="16">
        <v>26.2</v>
      </c>
      <c r="F1539" s="15" t="s">
        <v>11</v>
      </c>
      <c r="G1539" s="15">
        <v>52.4</v>
      </c>
      <c r="H1539" s="17">
        <f t="shared" si="48"/>
        <v>3</v>
      </c>
      <c r="I1539" s="17">
        <f>YEAR(Sheet1!$A1539)</f>
        <v>2025</v>
      </c>
      <c r="J1539" s="17">
        <f>DAY(Sheet1!$A1539)</f>
        <v>29</v>
      </c>
      <c r="K1539" s="18" t="s">
        <v>2023</v>
      </c>
      <c r="L1539" s="19" t="str">
        <f t="shared" si="49"/>
        <v>Premium Customer</v>
      </c>
    </row>
    <row r="1540" spans="1:12" ht="15.75" customHeight="1" x14ac:dyDescent="0.3">
      <c r="A1540" s="7">
        <v>45578</v>
      </c>
      <c r="B1540" s="8" t="s">
        <v>241</v>
      </c>
      <c r="C1540" s="8" t="s">
        <v>24</v>
      </c>
      <c r="D1540" s="8" t="s">
        <v>19</v>
      </c>
      <c r="E1540" s="9">
        <v>26.24</v>
      </c>
      <c r="F1540" s="8" t="s">
        <v>10</v>
      </c>
      <c r="G1540" s="8">
        <v>52.48</v>
      </c>
      <c r="H1540" s="10">
        <f t="shared" si="48"/>
        <v>10</v>
      </c>
      <c r="I1540" s="10">
        <f>YEAR(Sheet1!$A1540)</f>
        <v>2024</v>
      </c>
      <c r="J1540" s="10">
        <f>DAY(Sheet1!$A1540)</f>
        <v>13</v>
      </c>
      <c r="K1540" s="12" t="s">
        <v>2022</v>
      </c>
      <c r="L1540" s="13" t="str">
        <f t="shared" si="49"/>
        <v>Premium Customer</v>
      </c>
    </row>
    <row r="1541" spans="1:12" ht="15.75" customHeight="1" x14ac:dyDescent="0.3">
      <c r="A1541" s="14">
        <v>45715</v>
      </c>
      <c r="B1541" s="15" t="s">
        <v>1128</v>
      </c>
      <c r="C1541" s="15" t="s">
        <v>18</v>
      </c>
      <c r="D1541" s="15" t="s">
        <v>14</v>
      </c>
      <c r="E1541" s="16">
        <v>26.26</v>
      </c>
      <c r="F1541" s="15" t="s">
        <v>11</v>
      </c>
      <c r="G1541" s="15">
        <v>52.52</v>
      </c>
      <c r="H1541" s="17">
        <f t="shared" si="48"/>
        <v>2</v>
      </c>
      <c r="I1541" s="17">
        <f>YEAR(Sheet1!$A1541)</f>
        <v>2025</v>
      </c>
      <c r="J1541" s="17">
        <f>DAY(Sheet1!$A1541)</f>
        <v>27</v>
      </c>
      <c r="K1541" s="18" t="s">
        <v>2022</v>
      </c>
      <c r="L1541" s="19" t="str">
        <f t="shared" si="49"/>
        <v>Premium Customer</v>
      </c>
    </row>
    <row r="1542" spans="1:12" ht="15.75" customHeight="1" x14ac:dyDescent="0.3">
      <c r="A1542" s="7">
        <v>45692</v>
      </c>
      <c r="B1542" s="8" t="s">
        <v>542</v>
      </c>
      <c r="C1542" s="8" t="s">
        <v>8</v>
      </c>
      <c r="D1542" s="8" t="s">
        <v>19</v>
      </c>
      <c r="E1542" s="9">
        <v>17.54</v>
      </c>
      <c r="F1542" s="8" t="s">
        <v>10</v>
      </c>
      <c r="G1542" s="8">
        <v>52.62</v>
      </c>
      <c r="H1542" s="10">
        <f t="shared" si="48"/>
        <v>2</v>
      </c>
      <c r="I1542" s="10">
        <f>YEAR(Sheet1!$A1542)</f>
        <v>2025</v>
      </c>
      <c r="J1542" s="10">
        <f>DAY(Sheet1!$A1542)</f>
        <v>4</v>
      </c>
      <c r="K1542" s="12" t="s">
        <v>2022</v>
      </c>
      <c r="L1542" s="13" t="str">
        <f t="shared" si="49"/>
        <v>Premium Customer</v>
      </c>
    </row>
    <row r="1543" spans="1:12" ht="15.75" customHeight="1" x14ac:dyDescent="0.3">
      <c r="A1543" s="14">
        <v>45662</v>
      </c>
      <c r="B1543" s="15" t="s">
        <v>162</v>
      </c>
      <c r="C1543" s="15" t="s">
        <v>13</v>
      </c>
      <c r="D1543" s="15" t="s">
        <v>16</v>
      </c>
      <c r="E1543" s="16">
        <v>26.32</v>
      </c>
      <c r="F1543" s="15" t="s">
        <v>10</v>
      </c>
      <c r="G1543" s="15">
        <v>52.64</v>
      </c>
      <c r="H1543" s="17">
        <f t="shared" si="48"/>
        <v>1</v>
      </c>
      <c r="I1543" s="17">
        <f>YEAR(Sheet1!$A1543)</f>
        <v>2025</v>
      </c>
      <c r="J1543" s="17">
        <f>DAY(Sheet1!$A1543)</f>
        <v>5</v>
      </c>
      <c r="K1543" s="18" t="s">
        <v>2023</v>
      </c>
      <c r="L1543" s="19" t="str">
        <f t="shared" si="49"/>
        <v>Premium Customer</v>
      </c>
    </row>
    <row r="1544" spans="1:12" ht="15.75" customHeight="1" x14ac:dyDescent="0.3">
      <c r="A1544" s="7">
        <v>45504</v>
      </c>
      <c r="B1544" s="8" t="s">
        <v>155</v>
      </c>
      <c r="C1544" s="8" t="s">
        <v>8</v>
      </c>
      <c r="D1544" s="8" t="s">
        <v>14</v>
      </c>
      <c r="E1544" s="9">
        <v>17.579999999999998</v>
      </c>
      <c r="F1544" s="8" t="s">
        <v>10</v>
      </c>
      <c r="G1544" s="8">
        <v>52.74</v>
      </c>
      <c r="H1544" s="10">
        <f t="shared" si="48"/>
        <v>7</v>
      </c>
      <c r="I1544" s="10">
        <f>YEAR(Sheet1!$A1544)</f>
        <v>2024</v>
      </c>
      <c r="J1544" s="10">
        <f>DAY(Sheet1!$A1544)</f>
        <v>31</v>
      </c>
      <c r="K1544" s="12" t="s">
        <v>2023</v>
      </c>
      <c r="L1544" s="13" t="str">
        <f t="shared" si="49"/>
        <v>Premium Customer</v>
      </c>
    </row>
    <row r="1545" spans="1:12" ht="15.75" customHeight="1" x14ac:dyDescent="0.3">
      <c r="A1545" s="14">
        <v>45504</v>
      </c>
      <c r="B1545" s="15" t="s">
        <v>434</v>
      </c>
      <c r="C1545" s="15" t="s">
        <v>24</v>
      </c>
      <c r="D1545" s="15" t="s">
        <v>19</v>
      </c>
      <c r="E1545" s="16">
        <v>17.579999999999998</v>
      </c>
      <c r="F1545" s="15" t="s">
        <v>10</v>
      </c>
      <c r="G1545" s="15">
        <v>52.74</v>
      </c>
      <c r="H1545" s="17">
        <f t="shared" si="48"/>
        <v>7</v>
      </c>
      <c r="I1545" s="17">
        <f>YEAR(Sheet1!$A1545)</f>
        <v>2024</v>
      </c>
      <c r="J1545" s="17">
        <f>DAY(Sheet1!$A1545)</f>
        <v>31</v>
      </c>
      <c r="K1545" s="18" t="s">
        <v>2023</v>
      </c>
      <c r="L1545" s="19" t="str">
        <f t="shared" si="49"/>
        <v>Premium Customer</v>
      </c>
    </row>
    <row r="1546" spans="1:12" ht="15.75" customHeight="1" x14ac:dyDescent="0.3">
      <c r="A1546" s="7">
        <v>45658</v>
      </c>
      <c r="B1546" s="8" t="s">
        <v>90</v>
      </c>
      <c r="C1546" s="8" t="s">
        <v>13</v>
      </c>
      <c r="D1546" s="8" t="s">
        <v>16</v>
      </c>
      <c r="E1546" s="9">
        <v>17.579999999999998</v>
      </c>
      <c r="F1546" s="8" t="s">
        <v>10</v>
      </c>
      <c r="G1546" s="8">
        <v>52.74</v>
      </c>
      <c r="H1546" s="10">
        <f t="shared" si="48"/>
        <v>1</v>
      </c>
      <c r="I1546" s="10">
        <f>YEAR(Sheet1!$A1546)</f>
        <v>2025</v>
      </c>
      <c r="J1546" s="10">
        <f>DAY(Sheet1!$A1546)</f>
        <v>1</v>
      </c>
      <c r="K1546" s="12" t="s">
        <v>2022</v>
      </c>
      <c r="L1546" s="13" t="str">
        <f t="shared" si="49"/>
        <v>Premium Customer</v>
      </c>
    </row>
    <row r="1547" spans="1:12" ht="15.75" customHeight="1" x14ac:dyDescent="0.3">
      <c r="A1547" s="14">
        <v>45470</v>
      </c>
      <c r="B1547" s="15" t="s">
        <v>1114</v>
      </c>
      <c r="C1547" s="15" t="s">
        <v>24</v>
      </c>
      <c r="D1547" s="15" t="s">
        <v>14</v>
      </c>
      <c r="E1547" s="16">
        <v>17.600000000000001</v>
      </c>
      <c r="F1547" s="15" t="s">
        <v>11</v>
      </c>
      <c r="G1547" s="15">
        <v>52.8</v>
      </c>
      <c r="H1547" s="17">
        <f t="shared" si="48"/>
        <v>6</v>
      </c>
      <c r="I1547" s="17">
        <f>YEAR(Sheet1!$A1547)</f>
        <v>2024</v>
      </c>
      <c r="J1547" s="17">
        <f>DAY(Sheet1!$A1547)</f>
        <v>27</v>
      </c>
      <c r="K1547" s="18" t="s">
        <v>2023</v>
      </c>
      <c r="L1547" s="19" t="str">
        <f t="shared" si="49"/>
        <v>Premium Customer</v>
      </c>
    </row>
    <row r="1548" spans="1:12" ht="15.75" customHeight="1" x14ac:dyDescent="0.3">
      <c r="A1548" s="7">
        <v>45676</v>
      </c>
      <c r="B1548" s="8" t="s">
        <v>839</v>
      </c>
      <c r="C1548" s="8" t="s">
        <v>13</v>
      </c>
      <c r="D1548" s="8" t="s">
        <v>19</v>
      </c>
      <c r="E1548" s="9">
        <v>17.61</v>
      </c>
      <c r="F1548" s="8" t="s">
        <v>11</v>
      </c>
      <c r="G1548" s="8">
        <v>52.83</v>
      </c>
      <c r="H1548" s="10">
        <f t="shared" si="48"/>
        <v>1</v>
      </c>
      <c r="I1548" s="10">
        <f>YEAR(Sheet1!$A1548)</f>
        <v>2025</v>
      </c>
      <c r="J1548" s="10">
        <f>DAY(Sheet1!$A1548)</f>
        <v>19</v>
      </c>
      <c r="K1548" s="12" t="s">
        <v>2022</v>
      </c>
      <c r="L1548" s="13" t="str">
        <f t="shared" si="49"/>
        <v>Premium Customer</v>
      </c>
    </row>
    <row r="1549" spans="1:12" ht="15.75" customHeight="1" x14ac:dyDescent="0.3">
      <c r="A1549" s="14">
        <v>45420</v>
      </c>
      <c r="B1549" s="15" t="s">
        <v>1354</v>
      </c>
      <c r="C1549" s="15" t="s">
        <v>8</v>
      </c>
      <c r="D1549" s="15" t="s">
        <v>16</v>
      </c>
      <c r="E1549" s="16">
        <v>26.42</v>
      </c>
      <c r="F1549" s="15" t="s">
        <v>10</v>
      </c>
      <c r="G1549" s="15">
        <v>52.84</v>
      </c>
      <c r="H1549" s="17">
        <f t="shared" si="48"/>
        <v>5</v>
      </c>
      <c r="I1549" s="17">
        <f>YEAR(Sheet1!$A1549)</f>
        <v>2024</v>
      </c>
      <c r="J1549" s="17">
        <f>DAY(Sheet1!$A1549)</f>
        <v>8</v>
      </c>
      <c r="K1549" s="18" t="s">
        <v>2023</v>
      </c>
      <c r="L1549" s="19" t="str">
        <f t="shared" si="49"/>
        <v>Premium Customer</v>
      </c>
    </row>
    <row r="1550" spans="1:12" ht="15.75" customHeight="1" x14ac:dyDescent="0.3">
      <c r="A1550" s="7">
        <v>45524</v>
      </c>
      <c r="B1550" s="8" t="s">
        <v>1749</v>
      </c>
      <c r="C1550" s="8" t="s">
        <v>8</v>
      </c>
      <c r="D1550" s="8" t="s">
        <v>14</v>
      </c>
      <c r="E1550" s="9">
        <v>17.62</v>
      </c>
      <c r="F1550" s="8" t="s">
        <v>11</v>
      </c>
      <c r="G1550" s="8">
        <v>52.86</v>
      </c>
      <c r="H1550" s="10">
        <f t="shared" si="48"/>
        <v>8</v>
      </c>
      <c r="I1550" s="10">
        <f>YEAR(Sheet1!$A1550)</f>
        <v>2024</v>
      </c>
      <c r="J1550" s="10">
        <f>DAY(Sheet1!$A1550)</f>
        <v>20</v>
      </c>
      <c r="K1550" s="12" t="s">
        <v>2023</v>
      </c>
      <c r="L1550" s="13" t="str">
        <f t="shared" si="49"/>
        <v>Premium Customer</v>
      </c>
    </row>
    <row r="1551" spans="1:12" ht="15.75" customHeight="1" x14ac:dyDescent="0.3">
      <c r="A1551" s="14">
        <v>45653</v>
      </c>
      <c r="B1551" s="15" t="s">
        <v>609</v>
      </c>
      <c r="C1551" s="15" t="s">
        <v>13</v>
      </c>
      <c r="D1551" s="15" t="s">
        <v>9</v>
      </c>
      <c r="E1551" s="16">
        <v>17.63</v>
      </c>
      <c r="F1551" s="15" t="s">
        <v>10</v>
      </c>
      <c r="G1551" s="15">
        <v>52.89</v>
      </c>
      <c r="H1551" s="17">
        <f t="shared" si="48"/>
        <v>12</v>
      </c>
      <c r="I1551" s="17">
        <f>YEAR(Sheet1!$A1551)</f>
        <v>2024</v>
      </c>
      <c r="J1551" s="17">
        <f>DAY(Sheet1!$A1551)</f>
        <v>27</v>
      </c>
      <c r="K1551" s="18" t="s">
        <v>2022</v>
      </c>
      <c r="L1551" s="19" t="str">
        <f t="shared" si="49"/>
        <v>Premium Customer</v>
      </c>
    </row>
    <row r="1552" spans="1:12" ht="15.75" customHeight="1" x14ac:dyDescent="0.3">
      <c r="A1552" s="7">
        <v>45692</v>
      </c>
      <c r="B1552" s="8" t="s">
        <v>1599</v>
      </c>
      <c r="C1552" s="8" t="s">
        <v>8</v>
      </c>
      <c r="D1552" s="8" t="s">
        <v>9</v>
      </c>
      <c r="E1552" s="9">
        <v>17.63</v>
      </c>
      <c r="F1552" s="8" t="s">
        <v>11</v>
      </c>
      <c r="G1552" s="8">
        <v>52.89</v>
      </c>
      <c r="H1552" s="10">
        <f t="shared" si="48"/>
        <v>2</v>
      </c>
      <c r="I1552" s="10">
        <f>YEAR(Sheet1!$A1552)</f>
        <v>2025</v>
      </c>
      <c r="J1552" s="10">
        <f>DAY(Sheet1!$A1552)</f>
        <v>4</v>
      </c>
      <c r="K1552" s="12" t="s">
        <v>2023</v>
      </c>
      <c r="L1552" s="13" t="str">
        <f t="shared" si="49"/>
        <v>Premium Customer</v>
      </c>
    </row>
    <row r="1553" spans="1:12" ht="15.75" customHeight="1" x14ac:dyDescent="0.3">
      <c r="A1553" s="14">
        <v>45521</v>
      </c>
      <c r="B1553" s="15" t="s">
        <v>1362</v>
      </c>
      <c r="C1553" s="15" t="s">
        <v>13</v>
      </c>
      <c r="D1553" s="15" t="s">
        <v>14</v>
      </c>
      <c r="E1553" s="16">
        <v>26.49</v>
      </c>
      <c r="F1553" s="15" t="s">
        <v>11</v>
      </c>
      <c r="G1553" s="15">
        <v>52.98</v>
      </c>
      <c r="H1553" s="17">
        <f t="shared" si="48"/>
        <v>8</v>
      </c>
      <c r="I1553" s="17">
        <f>YEAR(Sheet1!$A1553)</f>
        <v>2024</v>
      </c>
      <c r="J1553" s="17">
        <f>DAY(Sheet1!$A1553)</f>
        <v>17</v>
      </c>
      <c r="K1553" s="18" t="s">
        <v>2022</v>
      </c>
      <c r="L1553" s="19" t="str">
        <f t="shared" si="49"/>
        <v>Premium Customer</v>
      </c>
    </row>
    <row r="1554" spans="1:12" ht="15.75" customHeight="1" x14ac:dyDescent="0.3">
      <c r="A1554" s="7">
        <v>45649</v>
      </c>
      <c r="B1554" s="8" t="s">
        <v>590</v>
      </c>
      <c r="C1554" s="8" t="s">
        <v>24</v>
      </c>
      <c r="D1554" s="8" t="s">
        <v>14</v>
      </c>
      <c r="E1554" s="9">
        <v>26.5</v>
      </c>
      <c r="F1554" s="8" t="s">
        <v>10</v>
      </c>
      <c r="G1554" s="8">
        <v>53</v>
      </c>
      <c r="H1554" s="10">
        <f t="shared" si="48"/>
        <v>12</v>
      </c>
      <c r="I1554" s="10">
        <f>YEAR(Sheet1!$A1554)</f>
        <v>2024</v>
      </c>
      <c r="J1554" s="10">
        <f>DAY(Sheet1!$A1554)</f>
        <v>23</v>
      </c>
      <c r="K1554" s="12" t="s">
        <v>2023</v>
      </c>
      <c r="L1554" s="13" t="str">
        <f t="shared" si="49"/>
        <v>Premium Customer</v>
      </c>
    </row>
    <row r="1555" spans="1:12" ht="15.75" customHeight="1" x14ac:dyDescent="0.3">
      <c r="A1555" s="14">
        <v>45722</v>
      </c>
      <c r="B1555" s="15" t="s">
        <v>1285</v>
      </c>
      <c r="C1555" s="15" t="s">
        <v>8</v>
      </c>
      <c r="D1555" s="15" t="s">
        <v>16</v>
      </c>
      <c r="E1555" s="16">
        <v>26.53</v>
      </c>
      <c r="F1555" s="15" t="s">
        <v>11</v>
      </c>
      <c r="G1555" s="15">
        <v>53.06</v>
      </c>
      <c r="H1555" s="17">
        <f t="shared" si="48"/>
        <v>3</v>
      </c>
      <c r="I1555" s="17">
        <f>YEAR(Sheet1!$A1555)</f>
        <v>2025</v>
      </c>
      <c r="J1555" s="17">
        <f>DAY(Sheet1!$A1555)</f>
        <v>6</v>
      </c>
      <c r="K1555" s="18" t="s">
        <v>2022</v>
      </c>
      <c r="L1555" s="19" t="str">
        <f t="shared" si="49"/>
        <v>Premium Customer</v>
      </c>
    </row>
    <row r="1556" spans="1:12" ht="15.75" customHeight="1" x14ac:dyDescent="0.3">
      <c r="A1556" s="7">
        <v>45486</v>
      </c>
      <c r="B1556" s="8" t="s">
        <v>1676</v>
      </c>
      <c r="C1556" s="8" t="s">
        <v>13</v>
      </c>
      <c r="D1556" s="8" t="s">
        <v>16</v>
      </c>
      <c r="E1556" s="9">
        <v>26.54</v>
      </c>
      <c r="F1556" s="8" t="s">
        <v>10</v>
      </c>
      <c r="G1556" s="8">
        <v>53.08</v>
      </c>
      <c r="H1556" s="10">
        <f t="shared" si="48"/>
        <v>7</v>
      </c>
      <c r="I1556" s="10">
        <f>YEAR(Sheet1!$A1556)</f>
        <v>2024</v>
      </c>
      <c r="J1556" s="10">
        <f>DAY(Sheet1!$A1556)</f>
        <v>13</v>
      </c>
      <c r="K1556" s="12" t="s">
        <v>2022</v>
      </c>
      <c r="L1556" s="13" t="str">
        <f t="shared" si="49"/>
        <v>Premium Customer</v>
      </c>
    </row>
    <row r="1557" spans="1:12" ht="15.75" customHeight="1" x14ac:dyDescent="0.3">
      <c r="A1557" s="14">
        <v>45621</v>
      </c>
      <c r="B1557" s="15" t="s">
        <v>726</v>
      </c>
      <c r="C1557" s="15" t="s">
        <v>18</v>
      </c>
      <c r="D1557" s="15" t="s">
        <v>16</v>
      </c>
      <c r="E1557" s="16">
        <v>26.57</v>
      </c>
      <c r="F1557" s="15" t="s">
        <v>10</v>
      </c>
      <c r="G1557" s="15">
        <v>53.14</v>
      </c>
      <c r="H1557" s="17">
        <f t="shared" si="48"/>
        <v>11</v>
      </c>
      <c r="I1557" s="17">
        <f>YEAR(Sheet1!$A1557)</f>
        <v>2024</v>
      </c>
      <c r="J1557" s="17">
        <f>DAY(Sheet1!$A1557)</f>
        <v>25</v>
      </c>
      <c r="K1557" s="18" t="s">
        <v>2022</v>
      </c>
      <c r="L1557" s="19" t="str">
        <f t="shared" si="49"/>
        <v>Premium Customer</v>
      </c>
    </row>
    <row r="1558" spans="1:12" ht="15.75" customHeight="1" x14ac:dyDescent="0.3">
      <c r="A1558" s="7">
        <v>45741</v>
      </c>
      <c r="B1558" s="8" t="s">
        <v>1661</v>
      </c>
      <c r="C1558" s="8" t="s">
        <v>8</v>
      </c>
      <c r="D1558" s="8" t="s">
        <v>16</v>
      </c>
      <c r="E1558" s="9">
        <v>17.78</v>
      </c>
      <c r="F1558" s="8" t="s">
        <v>10</v>
      </c>
      <c r="G1558" s="8">
        <v>53.34</v>
      </c>
      <c r="H1558" s="10">
        <f t="shared" si="48"/>
        <v>3</v>
      </c>
      <c r="I1558" s="10">
        <f>YEAR(Sheet1!$A1558)</f>
        <v>2025</v>
      </c>
      <c r="J1558" s="10">
        <f>DAY(Sheet1!$A1558)</f>
        <v>25</v>
      </c>
      <c r="K1558" s="12" t="s">
        <v>2023</v>
      </c>
      <c r="L1558" s="13" t="str">
        <f t="shared" si="49"/>
        <v>Premium Customer</v>
      </c>
    </row>
    <row r="1559" spans="1:12" ht="15.75" customHeight="1" x14ac:dyDescent="0.3">
      <c r="A1559" s="14">
        <v>45501</v>
      </c>
      <c r="B1559" s="15" t="s">
        <v>92</v>
      </c>
      <c r="C1559" s="15" t="s">
        <v>13</v>
      </c>
      <c r="D1559" s="15" t="s">
        <v>14</v>
      </c>
      <c r="E1559" s="16">
        <v>26.71</v>
      </c>
      <c r="F1559" s="15" t="s">
        <v>10</v>
      </c>
      <c r="G1559" s="15">
        <v>53.42</v>
      </c>
      <c r="H1559" s="17">
        <f t="shared" si="48"/>
        <v>7</v>
      </c>
      <c r="I1559" s="17">
        <f>YEAR(Sheet1!$A1559)</f>
        <v>2024</v>
      </c>
      <c r="J1559" s="17">
        <f>DAY(Sheet1!$A1559)</f>
        <v>28</v>
      </c>
      <c r="K1559" s="18" t="s">
        <v>2023</v>
      </c>
      <c r="L1559" s="19" t="str">
        <f t="shared" si="49"/>
        <v>Premium Customer</v>
      </c>
    </row>
    <row r="1560" spans="1:12" ht="15.75" customHeight="1" x14ac:dyDescent="0.3">
      <c r="A1560" s="7">
        <v>45692</v>
      </c>
      <c r="B1560" s="8" t="s">
        <v>1999</v>
      </c>
      <c r="C1560" s="8" t="s">
        <v>24</v>
      </c>
      <c r="D1560" s="8" t="s">
        <v>16</v>
      </c>
      <c r="E1560" s="9">
        <v>17.82</v>
      </c>
      <c r="F1560" s="8" t="s">
        <v>10</v>
      </c>
      <c r="G1560" s="8">
        <v>53.46</v>
      </c>
      <c r="H1560" s="10">
        <f t="shared" si="48"/>
        <v>2</v>
      </c>
      <c r="I1560" s="10">
        <f>YEAR(Sheet1!$A1560)</f>
        <v>2025</v>
      </c>
      <c r="J1560" s="10">
        <f>DAY(Sheet1!$A1560)</f>
        <v>4</v>
      </c>
      <c r="K1560" s="12" t="s">
        <v>2023</v>
      </c>
      <c r="L1560" s="13" t="str">
        <f t="shared" si="49"/>
        <v>Premium Customer</v>
      </c>
    </row>
    <row r="1561" spans="1:12" ht="15.75" customHeight="1" x14ac:dyDescent="0.3">
      <c r="A1561" s="14">
        <v>45663</v>
      </c>
      <c r="B1561" s="15" t="s">
        <v>239</v>
      </c>
      <c r="C1561" s="15" t="s">
        <v>24</v>
      </c>
      <c r="D1561" s="15" t="s">
        <v>16</v>
      </c>
      <c r="E1561" s="16">
        <v>26.75</v>
      </c>
      <c r="F1561" s="15" t="s">
        <v>10</v>
      </c>
      <c r="G1561" s="15">
        <v>53.5</v>
      </c>
      <c r="H1561" s="17">
        <f t="shared" si="48"/>
        <v>1</v>
      </c>
      <c r="I1561" s="17">
        <f>YEAR(Sheet1!$A1561)</f>
        <v>2025</v>
      </c>
      <c r="J1561" s="17">
        <f>DAY(Sheet1!$A1561)</f>
        <v>6</v>
      </c>
      <c r="K1561" s="18" t="s">
        <v>2023</v>
      </c>
      <c r="L1561" s="19" t="str">
        <f t="shared" si="49"/>
        <v>Premium Customer</v>
      </c>
    </row>
    <row r="1562" spans="1:12" ht="15.75" customHeight="1" x14ac:dyDescent="0.3">
      <c r="A1562" s="7">
        <v>45431</v>
      </c>
      <c r="B1562" s="8" t="s">
        <v>1187</v>
      </c>
      <c r="C1562" s="8" t="s">
        <v>8</v>
      </c>
      <c r="D1562" s="8" t="s">
        <v>16</v>
      </c>
      <c r="E1562" s="9">
        <v>17.87</v>
      </c>
      <c r="F1562" s="8" t="s">
        <v>11</v>
      </c>
      <c r="G1562" s="8">
        <v>53.61</v>
      </c>
      <c r="H1562" s="10">
        <f t="shared" si="48"/>
        <v>5</v>
      </c>
      <c r="I1562" s="10">
        <f>YEAR(Sheet1!$A1562)</f>
        <v>2024</v>
      </c>
      <c r="J1562" s="10">
        <f>DAY(Sheet1!$A1562)</f>
        <v>19</v>
      </c>
      <c r="K1562" s="12" t="s">
        <v>2022</v>
      </c>
      <c r="L1562" s="13" t="str">
        <f t="shared" si="49"/>
        <v>Premium Customer</v>
      </c>
    </row>
    <row r="1563" spans="1:12" ht="15.75" customHeight="1" x14ac:dyDescent="0.3">
      <c r="A1563" s="14">
        <v>45553</v>
      </c>
      <c r="B1563" s="15" t="s">
        <v>176</v>
      </c>
      <c r="C1563" s="15" t="s">
        <v>8</v>
      </c>
      <c r="D1563" s="15" t="s">
        <v>14</v>
      </c>
      <c r="E1563" s="16">
        <v>26.81</v>
      </c>
      <c r="F1563" s="15" t="s">
        <v>10</v>
      </c>
      <c r="G1563" s="15">
        <v>53.62</v>
      </c>
      <c r="H1563" s="17">
        <f t="shared" si="48"/>
        <v>9</v>
      </c>
      <c r="I1563" s="17">
        <f>YEAR(Sheet1!$A1563)</f>
        <v>2024</v>
      </c>
      <c r="J1563" s="17">
        <f>DAY(Sheet1!$A1563)</f>
        <v>18</v>
      </c>
      <c r="K1563" s="18" t="s">
        <v>2022</v>
      </c>
      <c r="L1563" s="19" t="str">
        <f t="shared" si="49"/>
        <v>Premium Customer</v>
      </c>
    </row>
    <row r="1564" spans="1:12" ht="15.75" customHeight="1" x14ac:dyDescent="0.3">
      <c r="A1564" s="7">
        <v>45487</v>
      </c>
      <c r="B1564" s="8" t="s">
        <v>63</v>
      </c>
      <c r="C1564" s="8" t="s">
        <v>24</v>
      </c>
      <c r="D1564" s="8" t="s">
        <v>19</v>
      </c>
      <c r="E1564" s="9">
        <v>26.82</v>
      </c>
      <c r="F1564" s="8" t="s">
        <v>11</v>
      </c>
      <c r="G1564" s="8">
        <v>53.64</v>
      </c>
      <c r="H1564" s="10">
        <f t="shared" si="48"/>
        <v>7</v>
      </c>
      <c r="I1564" s="10">
        <f>YEAR(Sheet1!$A1564)</f>
        <v>2024</v>
      </c>
      <c r="J1564" s="10">
        <f>DAY(Sheet1!$A1564)</f>
        <v>14</v>
      </c>
      <c r="K1564" s="12" t="s">
        <v>2022</v>
      </c>
      <c r="L1564" s="13" t="str">
        <f t="shared" si="49"/>
        <v>Premium Customer</v>
      </c>
    </row>
    <row r="1565" spans="1:12" ht="15.75" customHeight="1" x14ac:dyDescent="0.3">
      <c r="A1565" s="14">
        <v>45726</v>
      </c>
      <c r="B1565" s="15" t="s">
        <v>1012</v>
      </c>
      <c r="C1565" s="15" t="s">
        <v>13</v>
      </c>
      <c r="D1565" s="15" t="s">
        <v>16</v>
      </c>
      <c r="E1565" s="16">
        <v>26.83</v>
      </c>
      <c r="F1565" s="15" t="s">
        <v>11</v>
      </c>
      <c r="G1565" s="15">
        <v>53.66</v>
      </c>
      <c r="H1565" s="17">
        <f t="shared" si="48"/>
        <v>3</v>
      </c>
      <c r="I1565" s="17">
        <f>YEAR(Sheet1!$A1565)</f>
        <v>2025</v>
      </c>
      <c r="J1565" s="17">
        <f>DAY(Sheet1!$A1565)</f>
        <v>10</v>
      </c>
      <c r="K1565" s="18" t="s">
        <v>2023</v>
      </c>
      <c r="L1565" s="19" t="str">
        <f t="shared" si="49"/>
        <v>Premium Customer</v>
      </c>
    </row>
    <row r="1566" spans="1:12" ht="15.75" customHeight="1" x14ac:dyDescent="0.3">
      <c r="A1566" s="7">
        <v>45452</v>
      </c>
      <c r="B1566" s="8" t="s">
        <v>1499</v>
      </c>
      <c r="C1566" s="8" t="s">
        <v>13</v>
      </c>
      <c r="D1566" s="8" t="s">
        <v>16</v>
      </c>
      <c r="E1566" s="9">
        <v>17.899999999999999</v>
      </c>
      <c r="F1566" s="8" t="s">
        <v>10</v>
      </c>
      <c r="G1566" s="8">
        <v>53.7</v>
      </c>
      <c r="H1566" s="10">
        <f t="shared" si="48"/>
        <v>6</v>
      </c>
      <c r="I1566" s="10">
        <f>YEAR(Sheet1!$A1566)</f>
        <v>2024</v>
      </c>
      <c r="J1566" s="10">
        <f>DAY(Sheet1!$A1566)</f>
        <v>9</v>
      </c>
      <c r="K1566" s="12" t="s">
        <v>2022</v>
      </c>
      <c r="L1566" s="13" t="str">
        <f t="shared" si="49"/>
        <v>Premium Customer</v>
      </c>
    </row>
    <row r="1567" spans="1:12" ht="15.75" customHeight="1" x14ac:dyDescent="0.3">
      <c r="A1567" s="14">
        <v>45770</v>
      </c>
      <c r="B1567" s="15" t="s">
        <v>347</v>
      </c>
      <c r="C1567" s="15" t="s">
        <v>18</v>
      </c>
      <c r="D1567" s="15" t="s">
        <v>16</v>
      </c>
      <c r="E1567" s="16">
        <v>26.89</v>
      </c>
      <c r="F1567" s="15" t="s">
        <v>11</v>
      </c>
      <c r="G1567" s="15">
        <v>53.78</v>
      </c>
      <c r="H1567" s="17">
        <f t="shared" si="48"/>
        <v>4</v>
      </c>
      <c r="I1567" s="17">
        <f>YEAR(Sheet1!$A1567)</f>
        <v>2025</v>
      </c>
      <c r="J1567" s="17">
        <f>DAY(Sheet1!$A1567)</f>
        <v>23</v>
      </c>
      <c r="K1567" s="18" t="s">
        <v>2023</v>
      </c>
      <c r="L1567" s="19" t="str">
        <f t="shared" si="49"/>
        <v>Premium Customer</v>
      </c>
    </row>
    <row r="1568" spans="1:12" ht="15.75" customHeight="1" x14ac:dyDescent="0.3">
      <c r="A1568" s="7">
        <v>45629</v>
      </c>
      <c r="B1568" s="8" t="s">
        <v>1607</v>
      </c>
      <c r="C1568" s="8" t="s">
        <v>13</v>
      </c>
      <c r="D1568" s="8" t="s">
        <v>19</v>
      </c>
      <c r="E1568" s="9">
        <v>17.93</v>
      </c>
      <c r="F1568" s="8" t="s">
        <v>10</v>
      </c>
      <c r="G1568" s="8">
        <v>53.79</v>
      </c>
      <c r="H1568" s="10">
        <f t="shared" si="48"/>
        <v>12</v>
      </c>
      <c r="I1568" s="10">
        <f>YEAR(Sheet1!$A1568)</f>
        <v>2024</v>
      </c>
      <c r="J1568" s="10">
        <f>DAY(Sheet1!$A1568)</f>
        <v>3</v>
      </c>
      <c r="K1568" s="12" t="s">
        <v>2023</v>
      </c>
      <c r="L1568" s="13" t="str">
        <f t="shared" si="49"/>
        <v>Premium Customer</v>
      </c>
    </row>
    <row r="1569" spans="1:12" ht="15.75" customHeight="1" x14ac:dyDescent="0.3">
      <c r="A1569" s="14">
        <v>45479</v>
      </c>
      <c r="B1569" s="15" t="s">
        <v>1511</v>
      </c>
      <c r="C1569" s="15" t="s">
        <v>18</v>
      </c>
      <c r="D1569" s="15" t="s">
        <v>19</v>
      </c>
      <c r="E1569" s="16">
        <v>26.91</v>
      </c>
      <c r="F1569" s="15" t="s">
        <v>10</v>
      </c>
      <c r="G1569" s="15">
        <v>53.82</v>
      </c>
      <c r="H1569" s="17">
        <f t="shared" si="48"/>
        <v>7</v>
      </c>
      <c r="I1569" s="17">
        <f>YEAR(Sheet1!$A1569)</f>
        <v>2024</v>
      </c>
      <c r="J1569" s="17">
        <f>DAY(Sheet1!$A1569)</f>
        <v>6</v>
      </c>
      <c r="K1569" s="18" t="s">
        <v>2022</v>
      </c>
      <c r="L1569" s="19" t="str">
        <f t="shared" si="49"/>
        <v>Premium Customer</v>
      </c>
    </row>
    <row r="1570" spans="1:12" ht="15.75" customHeight="1" x14ac:dyDescent="0.3">
      <c r="A1570" s="7">
        <v>45591</v>
      </c>
      <c r="B1570" s="8" t="s">
        <v>1817</v>
      </c>
      <c r="C1570" s="8" t="s">
        <v>18</v>
      </c>
      <c r="D1570" s="8" t="s">
        <v>16</v>
      </c>
      <c r="E1570" s="9">
        <v>17.940000000000001</v>
      </c>
      <c r="F1570" s="8" t="s">
        <v>11</v>
      </c>
      <c r="G1570" s="8">
        <v>53.82</v>
      </c>
      <c r="H1570" s="10">
        <f t="shared" si="48"/>
        <v>10</v>
      </c>
      <c r="I1570" s="10">
        <f>YEAR(Sheet1!$A1570)</f>
        <v>2024</v>
      </c>
      <c r="J1570" s="10">
        <f>DAY(Sheet1!$A1570)</f>
        <v>26</v>
      </c>
      <c r="K1570" s="12" t="s">
        <v>2022</v>
      </c>
      <c r="L1570" s="13" t="str">
        <f t="shared" si="49"/>
        <v>Premium Customer</v>
      </c>
    </row>
    <row r="1571" spans="1:12" ht="15.75" customHeight="1" x14ac:dyDescent="0.3">
      <c r="A1571" s="14">
        <v>45602</v>
      </c>
      <c r="B1571" s="15" t="s">
        <v>1473</v>
      </c>
      <c r="C1571" s="15" t="s">
        <v>24</v>
      </c>
      <c r="D1571" s="15" t="s">
        <v>19</v>
      </c>
      <c r="E1571" s="16">
        <v>26.91</v>
      </c>
      <c r="F1571" s="15" t="s">
        <v>11</v>
      </c>
      <c r="G1571" s="15">
        <v>53.82</v>
      </c>
      <c r="H1571" s="17">
        <f t="shared" si="48"/>
        <v>11</v>
      </c>
      <c r="I1571" s="17">
        <f>YEAR(Sheet1!$A1571)</f>
        <v>2024</v>
      </c>
      <c r="J1571" s="17">
        <f>DAY(Sheet1!$A1571)</f>
        <v>6</v>
      </c>
      <c r="K1571" s="18" t="s">
        <v>2023</v>
      </c>
      <c r="L1571" s="19" t="str">
        <f t="shared" si="49"/>
        <v>Premium Customer</v>
      </c>
    </row>
    <row r="1572" spans="1:12" ht="15.75" customHeight="1" x14ac:dyDescent="0.3">
      <c r="A1572" s="7">
        <v>45449</v>
      </c>
      <c r="B1572" s="8" t="s">
        <v>61</v>
      </c>
      <c r="C1572" s="8" t="s">
        <v>24</v>
      </c>
      <c r="D1572" s="8" t="s">
        <v>19</v>
      </c>
      <c r="E1572" s="9">
        <v>26.94</v>
      </c>
      <c r="F1572" s="8" t="s">
        <v>10</v>
      </c>
      <c r="G1572" s="8">
        <v>53.88</v>
      </c>
      <c r="H1572" s="10">
        <f t="shared" si="48"/>
        <v>6</v>
      </c>
      <c r="I1572" s="10">
        <f>YEAR(Sheet1!$A1572)</f>
        <v>2024</v>
      </c>
      <c r="J1572" s="10">
        <f>DAY(Sheet1!$A1572)</f>
        <v>6</v>
      </c>
      <c r="K1572" s="12" t="s">
        <v>2023</v>
      </c>
      <c r="L1572" s="13" t="str">
        <f t="shared" si="49"/>
        <v>Premium Customer</v>
      </c>
    </row>
    <row r="1573" spans="1:12" ht="15.75" customHeight="1" x14ac:dyDescent="0.3">
      <c r="A1573" s="14">
        <v>45497</v>
      </c>
      <c r="B1573" s="15" t="s">
        <v>411</v>
      </c>
      <c r="C1573" s="15" t="s">
        <v>18</v>
      </c>
      <c r="D1573" s="15" t="s">
        <v>14</v>
      </c>
      <c r="E1573" s="16">
        <v>26.96</v>
      </c>
      <c r="F1573" s="15" t="s">
        <v>10</v>
      </c>
      <c r="G1573" s="15">
        <v>53.92</v>
      </c>
      <c r="H1573" s="17">
        <f t="shared" si="48"/>
        <v>7</v>
      </c>
      <c r="I1573" s="17">
        <f>YEAR(Sheet1!$A1573)</f>
        <v>2024</v>
      </c>
      <c r="J1573" s="17">
        <f>DAY(Sheet1!$A1573)</f>
        <v>24</v>
      </c>
      <c r="K1573" s="18" t="s">
        <v>2023</v>
      </c>
      <c r="L1573" s="19" t="str">
        <f t="shared" si="49"/>
        <v>Premium Customer</v>
      </c>
    </row>
    <row r="1574" spans="1:12" ht="15.75" customHeight="1" x14ac:dyDescent="0.3">
      <c r="A1574" s="7">
        <v>45759</v>
      </c>
      <c r="B1574" s="8" t="s">
        <v>1121</v>
      </c>
      <c r="C1574" s="8" t="s">
        <v>13</v>
      </c>
      <c r="D1574" s="8" t="s">
        <v>19</v>
      </c>
      <c r="E1574" s="9">
        <v>18.010000000000002</v>
      </c>
      <c r="F1574" s="8" t="s">
        <v>11</v>
      </c>
      <c r="G1574" s="8">
        <v>54.03</v>
      </c>
      <c r="H1574" s="10">
        <f t="shared" si="48"/>
        <v>4</v>
      </c>
      <c r="I1574" s="10">
        <f>YEAR(Sheet1!$A1574)</f>
        <v>2025</v>
      </c>
      <c r="J1574" s="10">
        <f>DAY(Sheet1!$A1574)</f>
        <v>12</v>
      </c>
      <c r="K1574" s="12" t="s">
        <v>2023</v>
      </c>
      <c r="L1574" s="13" t="str">
        <f t="shared" si="49"/>
        <v>Premium Customer</v>
      </c>
    </row>
    <row r="1575" spans="1:12" ht="15.75" customHeight="1" x14ac:dyDescent="0.3">
      <c r="A1575" s="14">
        <v>45468</v>
      </c>
      <c r="B1575" s="15" t="s">
        <v>1022</v>
      </c>
      <c r="C1575" s="15" t="s">
        <v>18</v>
      </c>
      <c r="D1575" s="15" t="s">
        <v>16</v>
      </c>
      <c r="E1575" s="16">
        <v>27.03</v>
      </c>
      <c r="F1575" s="15" t="s">
        <v>11</v>
      </c>
      <c r="G1575" s="15">
        <v>54.06</v>
      </c>
      <c r="H1575" s="17">
        <f t="shared" si="48"/>
        <v>6</v>
      </c>
      <c r="I1575" s="17">
        <f>YEAR(Sheet1!$A1575)</f>
        <v>2024</v>
      </c>
      <c r="J1575" s="17">
        <f>DAY(Sheet1!$A1575)</f>
        <v>25</v>
      </c>
      <c r="K1575" s="18" t="s">
        <v>2022</v>
      </c>
      <c r="L1575" s="19" t="str">
        <f t="shared" si="49"/>
        <v>Premium Customer</v>
      </c>
    </row>
    <row r="1576" spans="1:12" ht="15.75" customHeight="1" x14ac:dyDescent="0.3">
      <c r="A1576" s="7">
        <v>45553</v>
      </c>
      <c r="B1576" s="8" t="s">
        <v>524</v>
      </c>
      <c r="C1576" s="8" t="s">
        <v>8</v>
      </c>
      <c r="D1576" s="8" t="s">
        <v>16</v>
      </c>
      <c r="E1576" s="9">
        <v>27.03</v>
      </c>
      <c r="F1576" s="8" t="s">
        <v>10</v>
      </c>
      <c r="G1576" s="8">
        <v>54.06</v>
      </c>
      <c r="H1576" s="10">
        <f t="shared" si="48"/>
        <v>9</v>
      </c>
      <c r="I1576" s="10">
        <f>YEAR(Sheet1!$A1576)</f>
        <v>2024</v>
      </c>
      <c r="J1576" s="10">
        <f>DAY(Sheet1!$A1576)</f>
        <v>18</v>
      </c>
      <c r="K1576" s="12" t="s">
        <v>2023</v>
      </c>
      <c r="L1576" s="13" t="str">
        <f t="shared" si="49"/>
        <v>Premium Customer</v>
      </c>
    </row>
    <row r="1577" spans="1:12" ht="15.75" customHeight="1" x14ac:dyDescent="0.3">
      <c r="A1577" s="14">
        <v>45696</v>
      </c>
      <c r="B1577" s="15" t="s">
        <v>54</v>
      </c>
      <c r="C1577" s="15" t="s">
        <v>13</v>
      </c>
      <c r="D1577" s="15" t="s">
        <v>19</v>
      </c>
      <c r="E1577" s="16">
        <v>27.03</v>
      </c>
      <c r="F1577" s="15" t="s">
        <v>11</v>
      </c>
      <c r="G1577" s="15">
        <v>54.06</v>
      </c>
      <c r="H1577" s="17">
        <f t="shared" si="48"/>
        <v>2</v>
      </c>
      <c r="I1577" s="17">
        <f>YEAR(Sheet1!$A1577)</f>
        <v>2025</v>
      </c>
      <c r="J1577" s="17">
        <f>DAY(Sheet1!$A1577)</f>
        <v>8</v>
      </c>
      <c r="K1577" s="18" t="s">
        <v>2022</v>
      </c>
      <c r="L1577" s="19" t="str">
        <f t="shared" si="49"/>
        <v>Premium Customer</v>
      </c>
    </row>
    <row r="1578" spans="1:12" ht="15.75" customHeight="1" x14ac:dyDescent="0.3">
      <c r="A1578" s="7">
        <v>45605</v>
      </c>
      <c r="B1578" s="8" t="s">
        <v>793</v>
      </c>
      <c r="C1578" s="8" t="s">
        <v>8</v>
      </c>
      <c r="D1578" s="8" t="s">
        <v>9</v>
      </c>
      <c r="E1578" s="9">
        <v>27.04</v>
      </c>
      <c r="F1578" s="8" t="s">
        <v>10</v>
      </c>
      <c r="G1578" s="8">
        <v>54.08</v>
      </c>
      <c r="H1578" s="10">
        <f t="shared" si="48"/>
        <v>11</v>
      </c>
      <c r="I1578" s="10">
        <f>YEAR(Sheet1!$A1578)</f>
        <v>2024</v>
      </c>
      <c r="J1578" s="10">
        <f>DAY(Sheet1!$A1578)</f>
        <v>9</v>
      </c>
      <c r="K1578" s="12" t="s">
        <v>2023</v>
      </c>
      <c r="L1578" s="13" t="str">
        <f t="shared" si="49"/>
        <v>Premium Customer</v>
      </c>
    </row>
    <row r="1579" spans="1:12" ht="15.75" customHeight="1" x14ac:dyDescent="0.3">
      <c r="A1579" s="14">
        <v>45741</v>
      </c>
      <c r="B1579" s="15" t="s">
        <v>1226</v>
      </c>
      <c r="C1579" s="15" t="s">
        <v>13</v>
      </c>
      <c r="D1579" s="15" t="s">
        <v>16</v>
      </c>
      <c r="E1579" s="16">
        <v>18.03</v>
      </c>
      <c r="F1579" s="15" t="s">
        <v>11</v>
      </c>
      <c r="G1579" s="15">
        <v>54.09</v>
      </c>
      <c r="H1579" s="17">
        <f t="shared" si="48"/>
        <v>3</v>
      </c>
      <c r="I1579" s="17">
        <f>YEAR(Sheet1!$A1579)</f>
        <v>2025</v>
      </c>
      <c r="J1579" s="17">
        <f>DAY(Sheet1!$A1579)</f>
        <v>25</v>
      </c>
      <c r="K1579" s="18" t="s">
        <v>2022</v>
      </c>
      <c r="L1579" s="19" t="str">
        <f t="shared" si="49"/>
        <v>Premium Customer</v>
      </c>
    </row>
    <row r="1580" spans="1:12" ht="15.75" customHeight="1" x14ac:dyDescent="0.3">
      <c r="A1580" s="7">
        <v>45639</v>
      </c>
      <c r="B1580" s="8" t="s">
        <v>315</v>
      </c>
      <c r="C1580" s="8" t="s">
        <v>24</v>
      </c>
      <c r="D1580" s="8" t="s">
        <v>14</v>
      </c>
      <c r="E1580" s="9">
        <v>18.059999999999999</v>
      </c>
      <c r="F1580" s="8" t="s">
        <v>10</v>
      </c>
      <c r="G1580" s="8">
        <v>54.18</v>
      </c>
      <c r="H1580" s="10">
        <f t="shared" si="48"/>
        <v>12</v>
      </c>
      <c r="I1580" s="10">
        <f>YEAR(Sheet1!$A1580)</f>
        <v>2024</v>
      </c>
      <c r="J1580" s="10">
        <f>DAY(Sheet1!$A1580)</f>
        <v>13</v>
      </c>
      <c r="K1580" s="12" t="s">
        <v>2022</v>
      </c>
      <c r="L1580" s="13" t="str">
        <f t="shared" si="49"/>
        <v>Premium Customer</v>
      </c>
    </row>
    <row r="1581" spans="1:12" ht="15.75" customHeight="1" x14ac:dyDescent="0.3">
      <c r="A1581" s="14">
        <v>45696</v>
      </c>
      <c r="B1581" s="15" t="s">
        <v>1655</v>
      </c>
      <c r="C1581" s="15" t="s">
        <v>24</v>
      </c>
      <c r="D1581" s="15" t="s">
        <v>16</v>
      </c>
      <c r="E1581" s="16">
        <v>18.079999999999998</v>
      </c>
      <c r="F1581" s="15" t="s">
        <v>11</v>
      </c>
      <c r="G1581" s="15">
        <v>54.24</v>
      </c>
      <c r="H1581" s="17">
        <f t="shared" si="48"/>
        <v>2</v>
      </c>
      <c r="I1581" s="17">
        <f>YEAR(Sheet1!$A1581)</f>
        <v>2025</v>
      </c>
      <c r="J1581" s="17">
        <f>DAY(Sheet1!$A1581)</f>
        <v>8</v>
      </c>
      <c r="K1581" s="18" t="s">
        <v>2022</v>
      </c>
      <c r="L1581" s="19" t="str">
        <f t="shared" si="49"/>
        <v>Premium Customer</v>
      </c>
    </row>
    <row r="1582" spans="1:12" ht="15.75" customHeight="1" x14ac:dyDescent="0.3">
      <c r="A1582" s="7">
        <v>45550</v>
      </c>
      <c r="B1582" s="8" t="s">
        <v>1047</v>
      </c>
      <c r="C1582" s="8" t="s">
        <v>8</v>
      </c>
      <c r="D1582" s="8" t="s">
        <v>14</v>
      </c>
      <c r="E1582" s="9">
        <v>18.11</v>
      </c>
      <c r="F1582" s="8" t="s">
        <v>10</v>
      </c>
      <c r="G1582" s="8">
        <v>54.33</v>
      </c>
      <c r="H1582" s="10">
        <f t="shared" si="48"/>
        <v>9</v>
      </c>
      <c r="I1582" s="10">
        <f>YEAR(Sheet1!$A1582)</f>
        <v>2024</v>
      </c>
      <c r="J1582" s="10">
        <f>DAY(Sheet1!$A1582)</f>
        <v>15</v>
      </c>
      <c r="K1582" s="12" t="s">
        <v>2023</v>
      </c>
      <c r="L1582" s="13" t="str">
        <f t="shared" si="49"/>
        <v>Premium Customer</v>
      </c>
    </row>
    <row r="1583" spans="1:12" ht="15.75" customHeight="1" x14ac:dyDescent="0.3">
      <c r="A1583" s="14">
        <v>45732</v>
      </c>
      <c r="B1583" s="15" t="s">
        <v>269</v>
      </c>
      <c r="C1583" s="15" t="s">
        <v>13</v>
      </c>
      <c r="D1583" s="15" t="s">
        <v>16</v>
      </c>
      <c r="E1583" s="16">
        <v>27.17</v>
      </c>
      <c r="F1583" s="15" t="s">
        <v>11</v>
      </c>
      <c r="G1583" s="15">
        <v>54.34</v>
      </c>
      <c r="H1583" s="17">
        <f t="shared" si="48"/>
        <v>3</v>
      </c>
      <c r="I1583" s="17">
        <f>YEAR(Sheet1!$A1583)</f>
        <v>2025</v>
      </c>
      <c r="J1583" s="17">
        <f>DAY(Sheet1!$A1583)</f>
        <v>16</v>
      </c>
      <c r="K1583" s="18" t="s">
        <v>2022</v>
      </c>
      <c r="L1583" s="19" t="str">
        <f t="shared" si="49"/>
        <v>Premium Customer</v>
      </c>
    </row>
    <row r="1584" spans="1:12" ht="15.75" customHeight="1" x14ac:dyDescent="0.3">
      <c r="A1584" s="7">
        <v>45526</v>
      </c>
      <c r="B1584" s="8" t="s">
        <v>1740</v>
      </c>
      <c r="C1584" s="8" t="s">
        <v>24</v>
      </c>
      <c r="D1584" s="8" t="s">
        <v>14</v>
      </c>
      <c r="E1584" s="9">
        <v>27.21</v>
      </c>
      <c r="F1584" s="8" t="s">
        <v>10</v>
      </c>
      <c r="G1584" s="8">
        <v>54.42</v>
      </c>
      <c r="H1584" s="10">
        <f t="shared" si="48"/>
        <v>8</v>
      </c>
      <c r="I1584" s="10">
        <f>YEAR(Sheet1!$A1584)</f>
        <v>2024</v>
      </c>
      <c r="J1584" s="10">
        <f>DAY(Sheet1!$A1584)</f>
        <v>22</v>
      </c>
      <c r="K1584" s="12" t="s">
        <v>2023</v>
      </c>
      <c r="L1584" s="13" t="str">
        <f t="shared" si="49"/>
        <v>Premium Customer</v>
      </c>
    </row>
    <row r="1585" spans="1:12" ht="15.75" customHeight="1" x14ac:dyDescent="0.3">
      <c r="A1585" s="14">
        <v>45700</v>
      </c>
      <c r="B1585" s="15" t="s">
        <v>1457</v>
      </c>
      <c r="C1585" s="15" t="s">
        <v>13</v>
      </c>
      <c r="D1585" s="15" t="s">
        <v>16</v>
      </c>
      <c r="E1585" s="16">
        <v>27.23</v>
      </c>
      <c r="F1585" s="15" t="s">
        <v>10</v>
      </c>
      <c r="G1585" s="15">
        <v>54.46</v>
      </c>
      <c r="H1585" s="17">
        <f t="shared" si="48"/>
        <v>2</v>
      </c>
      <c r="I1585" s="17">
        <f>YEAR(Sheet1!$A1585)</f>
        <v>2025</v>
      </c>
      <c r="J1585" s="17">
        <f>DAY(Sheet1!$A1585)</f>
        <v>12</v>
      </c>
      <c r="K1585" s="18" t="s">
        <v>2022</v>
      </c>
      <c r="L1585" s="19" t="str">
        <f t="shared" si="49"/>
        <v>Premium Customer</v>
      </c>
    </row>
    <row r="1586" spans="1:12" ht="15.75" customHeight="1" x14ac:dyDescent="0.3">
      <c r="A1586" s="7">
        <v>45753</v>
      </c>
      <c r="B1586" s="8" t="s">
        <v>1812</v>
      </c>
      <c r="C1586" s="8" t="s">
        <v>13</v>
      </c>
      <c r="D1586" s="8" t="s">
        <v>9</v>
      </c>
      <c r="E1586" s="9">
        <v>27.31</v>
      </c>
      <c r="F1586" s="8" t="s">
        <v>11</v>
      </c>
      <c r="G1586" s="8">
        <v>54.62</v>
      </c>
      <c r="H1586" s="10">
        <f t="shared" si="48"/>
        <v>4</v>
      </c>
      <c r="I1586" s="10">
        <f>YEAR(Sheet1!$A1586)</f>
        <v>2025</v>
      </c>
      <c r="J1586" s="10">
        <f>DAY(Sheet1!$A1586)</f>
        <v>6</v>
      </c>
      <c r="K1586" s="12" t="s">
        <v>2023</v>
      </c>
      <c r="L1586" s="13" t="str">
        <f t="shared" si="49"/>
        <v>Premium Customer</v>
      </c>
    </row>
    <row r="1587" spans="1:12" ht="15.75" customHeight="1" x14ac:dyDescent="0.3">
      <c r="A1587" s="14">
        <v>45749</v>
      </c>
      <c r="B1587" s="15" t="s">
        <v>1778</v>
      </c>
      <c r="C1587" s="15" t="s">
        <v>18</v>
      </c>
      <c r="D1587" s="15" t="s">
        <v>16</v>
      </c>
      <c r="E1587" s="16">
        <v>27.35</v>
      </c>
      <c r="F1587" s="15" t="s">
        <v>10</v>
      </c>
      <c r="G1587" s="15">
        <v>54.7</v>
      </c>
      <c r="H1587" s="17">
        <f t="shared" si="48"/>
        <v>4</v>
      </c>
      <c r="I1587" s="17">
        <f>YEAR(Sheet1!$A1587)</f>
        <v>2025</v>
      </c>
      <c r="J1587" s="17">
        <f>DAY(Sheet1!$A1587)</f>
        <v>2</v>
      </c>
      <c r="K1587" s="18" t="s">
        <v>2023</v>
      </c>
      <c r="L1587" s="19" t="str">
        <f t="shared" si="49"/>
        <v>Premium Customer</v>
      </c>
    </row>
    <row r="1588" spans="1:12" ht="15.75" customHeight="1" x14ac:dyDescent="0.3">
      <c r="A1588" s="7">
        <v>45463</v>
      </c>
      <c r="B1588" s="8" t="s">
        <v>1349</v>
      </c>
      <c r="C1588" s="8" t="s">
        <v>24</v>
      </c>
      <c r="D1588" s="8" t="s">
        <v>9</v>
      </c>
      <c r="E1588" s="9">
        <v>18.239999999999998</v>
      </c>
      <c r="F1588" s="8" t="s">
        <v>10</v>
      </c>
      <c r="G1588" s="8">
        <v>54.72</v>
      </c>
      <c r="H1588" s="10">
        <f t="shared" si="48"/>
        <v>6</v>
      </c>
      <c r="I1588" s="10">
        <f>YEAR(Sheet1!$A1588)</f>
        <v>2024</v>
      </c>
      <c r="J1588" s="10">
        <f>DAY(Sheet1!$A1588)</f>
        <v>20</v>
      </c>
      <c r="K1588" s="12" t="s">
        <v>2022</v>
      </c>
      <c r="L1588" s="13" t="str">
        <f t="shared" si="49"/>
        <v>Premium Customer</v>
      </c>
    </row>
    <row r="1589" spans="1:12" ht="15.75" customHeight="1" x14ac:dyDescent="0.3">
      <c r="A1589" s="14">
        <v>45692</v>
      </c>
      <c r="B1589" s="15" t="s">
        <v>1006</v>
      </c>
      <c r="C1589" s="15" t="s">
        <v>18</v>
      </c>
      <c r="D1589" s="15" t="s">
        <v>9</v>
      </c>
      <c r="E1589" s="16">
        <v>18.239999999999998</v>
      </c>
      <c r="F1589" s="15" t="s">
        <v>11</v>
      </c>
      <c r="G1589" s="15">
        <v>54.72</v>
      </c>
      <c r="H1589" s="17">
        <f t="shared" si="48"/>
        <v>2</v>
      </c>
      <c r="I1589" s="17">
        <f>YEAR(Sheet1!$A1589)</f>
        <v>2025</v>
      </c>
      <c r="J1589" s="17">
        <f>DAY(Sheet1!$A1589)</f>
        <v>4</v>
      </c>
      <c r="K1589" s="18" t="s">
        <v>2022</v>
      </c>
      <c r="L1589" s="19" t="str">
        <f t="shared" si="49"/>
        <v>Premium Customer</v>
      </c>
    </row>
    <row r="1590" spans="1:12" ht="15.75" customHeight="1" x14ac:dyDescent="0.3">
      <c r="A1590" s="7">
        <v>45620</v>
      </c>
      <c r="B1590" s="8" t="s">
        <v>1533</v>
      </c>
      <c r="C1590" s="8" t="s">
        <v>18</v>
      </c>
      <c r="D1590" s="8" t="s">
        <v>14</v>
      </c>
      <c r="E1590" s="9">
        <v>18.260000000000002</v>
      </c>
      <c r="F1590" s="8" t="s">
        <v>10</v>
      </c>
      <c r="G1590" s="8">
        <v>54.78</v>
      </c>
      <c r="H1590" s="10">
        <f t="shared" si="48"/>
        <v>11</v>
      </c>
      <c r="I1590" s="10">
        <f>YEAR(Sheet1!$A1590)</f>
        <v>2024</v>
      </c>
      <c r="J1590" s="10">
        <f>DAY(Sheet1!$A1590)</f>
        <v>24</v>
      </c>
      <c r="K1590" s="12" t="s">
        <v>2022</v>
      </c>
      <c r="L1590" s="13" t="str">
        <f t="shared" si="49"/>
        <v>Premium Customer</v>
      </c>
    </row>
    <row r="1591" spans="1:12" ht="15.75" customHeight="1" x14ac:dyDescent="0.3">
      <c r="A1591" s="14">
        <v>45536</v>
      </c>
      <c r="B1591" s="15" t="s">
        <v>1250</v>
      </c>
      <c r="C1591" s="15" t="s">
        <v>13</v>
      </c>
      <c r="D1591" s="15" t="s">
        <v>19</v>
      </c>
      <c r="E1591" s="16">
        <v>27.4</v>
      </c>
      <c r="F1591" s="15" t="s">
        <v>11</v>
      </c>
      <c r="G1591" s="15">
        <v>54.8</v>
      </c>
      <c r="H1591" s="17">
        <f t="shared" si="48"/>
        <v>9</v>
      </c>
      <c r="I1591" s="17">
        <f>YEAR(Sheet1!$A1591)</f>
        <v>2024</v>
      </c>
      <c r="J1591" s="17">
        <f>DAY(Sheet1!$A1591)</f>
        <v>1</v>
      </c>
      <c r="K1591" s="18" t="s">
        <v>2023</v>
      </c>
      <c r="L1591" s="19" t="str">
        <f t="shared" si="49"/>
        <v>Premium Customer</v>
      </c>
    </row>
    <row r="1592" spans="1:12" ht="15.75" customHeight="1" x14ac:dyDescent="0.3">
      <c r="A1592" s="7">
        <v>45527</v>
      </c>
      <c r="B1592" s="8" t="s">
        <v>810</v>
      </c>
      <c r="C1592" s="8" t="s">
        <v>24</v>
      </c>
      <c r="D1592" s="8" t="s">
        <v>16</v>
      </c>
      <c r="E1592" s="9">
        <v>27.45</v>
      </c>
      <c r="F1592" s="8" t="s">
        <v>10</v>
      </c>
      <c r="G1592" s="8">
        <v>54.9</v>
      </c>
      <c r="H1592" s="10">
        <f t="shared" si="48"/>
        <v>8</v>
      </c>
      <c r="I1592" s="10">
        <f>YEAR(Sheet1!$A1592)</f>
        <v>2024</v>
      </c>
      <c r="J1592" s="10">
        <f>DAY(Sheet1!$A1592)</f>
        <v>23</v>
      </c>
      <c r="K1592" s="12" t="s">
        <v>2022</v>
      </c>
      <c r="L1592" s="13" t="str">
        <f t="shared" si="49"/>
        <v>Premium Customer</v>
      </c>
    </row>
    <row r="1593" spans="1:12" ht="15.75" customHeight="1" x14ac:dyDescent="0.3">
      <c r="A1593" s="14">
        <v>45768</v>
      </c>
      <c r="B1593" s="15" t="s">
        <v>1722</v>
      </c>
      <c r="C1593" s="15" t="s">
        <v>24</v>
      </c>
      <c r="D1593" s="15" t="s">
        <v>9</v>
      </c>
      <c r="E1593" s="16">
        <v>18.3</v>
      </c>
      <c r="F1593" s="15" t="s">
        <v>10</v>
      </c>
      <c r="G1593" s="15">
        <v>54.9</v>
      </c>
      <c r="H1593" s="17">
        <f t="shared" si="48"/>
        <v>4</v>
      </c>
      <c r="I1593" s="17">
        <f>YEAR(Sheet1!$A1593)</f>
        <v>2025</v>
      </c>
      <c r="J1593" s="17">
        <f>DAY(Sheet1!$A1593)</f>
        <v>21</v>
      </c>
      <c r="K1593" s="18" t="s">
        <v>2023</v>
      </c>
      <c r="L1593" s="19" t="str">
        <f t="shared" si="49"/>
        <v>Premium Customer</v>
      </c>
    </row>
    <row r="1594" spans="1:12" ht="15.75" customHeight="1" x14ac:dyDescent="0.3">
      <c r="A1594" s="7">
        <v>45456</v>
      </c>
      <c r="B1594" s="8" t="s">
        <v>1898</v>
      </c>
      <c r="C1594" s="8" t="s">
        <v>18</v>
      </c>
      <c r="D1594" s="8" t="s">
        <v>16</v>
      </c>
      <c r="E1594" s="9">
        <v>18.309999999999999</v>
      </c>
      <c r="F1594" s="8" t="s">
        <v>10</v>
      </c>
      <c r="G1594" s="8">
        <v>54.93</v>
      </c>
      <c r="H1594" s="10">
        <f t="shared" si="48"/>
        <v>6</v>
      </c>
      <c r="I1594" s="10">
        <f>YEAR(Sheet1!$A1594)</f>
        <v>2024</v>
      </c>
      <c r="J1594" s="10">
        <f>DAY(Sheet1!$A1594)</f>
        <v>13</v>
      </c>
      <c r="K1594" s="12" t="s">
        <v>2023</v>
      </c>
      <c r="L1594" s="13" t="str">
        <f t="shared" si="49"/>
        <v>Premium Customer</v>
      </c>
    </row>
    <row r="1595" spans="1:12" ht="15.75" customHeight="1" x14ac:dyDescent="0.3">
      <c r="A1595" s="14">
        <v>45615</v>
      </c>
      <c r="B1595" s="15" t="s">
        <v>205</v>
      </c>
      <c r="C1595" s="15" t="s">
        <v>8</v>
      </c>
      <c r="D1595" s="15" t="s">
        <v>19</v>
      </c>
      <c r="E1595" s="16">
        <v>27.5</v>
      </c>
      <c r="F1595" s="15" t="s">
        <v>11</v>
      </c>
      <c r="G1595" s="15">
        <v>55</v>
      </c>
      <c r="H1595" s="17">
        <f t="shared" si="48"/>
        <v>11</v>
      </c>
      <c r="I1595" s="17">
        <f>YEAR(Sheet1!$A1595)</f>
        <v>2024</v>
      </c>
      <c r="J1595" s="17">
        <f>DAY(Sheet1!$A1595)</f>
        <v>19</v>
      </c>
      <c r="K1595" s="18" t="s">
        <v>2023</v>
      </c>
      <c r="L1595" s="19" t="str">
        <f t="shared" si="49"/>
        <v>Premium Customer</v>
      </c>
    </row>
    <row r="1596" spans="1:12" ht="15.75" customHeight="1" x14ac:dyDescent="0.3">
      <c r="A1596" s="7">
        <v>45486</v>
      </c>
      <c r="B1596" s="8" t="s">
        <v>476</v>
      </c>
      <c r="C1596" s="8" t="s">
        <v>24</v>
      </c>
      <c r="D1596" s="8" t="s">
        <v>14</v>
      </c>
      <c r="E1596" s="9">
        <v>27.52</v>
      </c>
      <c r="F1596" s="8" t="s">
        <v>10</v>
      </c>
      <c r="G1596" s="8">
        <v>55.04</v>
      </c>
      <c r="H1596" s="10">
        <f t="shared" si="48"/>
        <v>7</v>
      </c>
      <c r="I1596" s="10">
        <f>YEAR(Sheet1!$A1596)</f>
        <v>2024</v>
      </c>
      <c r="J1596" s="10">
        <f>DAY(Sheet1!$A1596)</f>
        <v>13</v>
      </c>
      <c r="K1596" s="12" t="s">
        <v>2023</v>
      </c>
      <c r="L1596" s="13" t="str">
        <f t="shared" si="49"/>
        <v>Premium Customer</v>
      </c>
    </row>
    <row r="1597" spans="1:12" ht="15.75" customHeight="1" x14ac:dyDescent="0.3">
      <c r="A1597" s="14">
        <v>45542</v>
      </c>
      <c r="B1597" s="15" t="s">
        <v>279</v>
      </c>
      <c r="C1597" s="15" t="s">
        <v>24</v>
      </c>
      <c r="D1597" s="15" t="s">
        <v>9</v>
      </c>
      <c r="E1597" s="16">
        <v>18.38</v>
      </c>
      <c r="F1597" s="15" t="s">
        <v>11</v>
      </c>
      <c r="G1597" s="15">
        <v>55.14</v>
      </c>
      <c r="H1597" s="17">
        <f t="shared" si="48"/>
        <v>9</v>
      </c>
      <c r="I1597" s="17">
        <f>YEAR(Sheet1!$A1597)</f>
        <v>2024</v>
      </c>
      <c r="J1597" s="17">
        <f>DAY(Sheet1!$A1597)</f>
        <v>7</v>
      </c>
      <c r="K1597" s="18" t="s">
        <v>2022</v>
      </c>
      <c r="L1597" s="19" t="str">
        <f t="shared" si="49"/>
        <v>Premium Customer</v>
      </c>
    </row>
    <row r="1598" spans="1:12" ht="15.75" customHeight="1" x14ac:dyDescent="0.3">
      <c r="A1598" s="7">
        <v>45629</v>
      </c>
      <c r="B1598" s="8" t="s">
        <v>425</v>
      </c>
      <c r="C1598" s="8" t="s">
        <v>24</v>
      </c>
      <c r="D1598" s="8" t="s">
        <v>14</v>
      </c>
      <c r="E1598" s="9">
        <v>18.39</v>
      </c>
      <c r="F1598" s="8" t="s">
        <v>11</v>
      </c>
      <c r="G1598" s="8">
        <v>55.17</v>
      </c>
      <c r="H1598" s="10">
        <f t="shared" si="48"/>
        <v>12</v>
      </c>
      <c r="I1598" s="10">
        <f>YEAR(Sheet1!$A1598)</f>
        <v>2024</v>
      </c>
      <c r="J1598" s="10">
        <f>DAY(Sheet1!$A1598)</f>
        <v>3</v>
      </c>
      <c r="K1598" s="12" t="s">
        <v>2022</v>
      </c>
      <c r="L1598" s="13" t="str">
        <f t="shared" si="49"/>
        <v>Premium Customer</v>
      </c>
    </row>
    <row r="1599" spans="1:12" ht="15.75" customHeight="1" x14ac:dyDescent="0.3">
      <c r="A1599" s="14">
        <v>45425</v>
      </c>
      <c r="B1599" s="15" t="s">
        <v>588</v>
      </c>
      <c r="C1599" s="15" t="s">
        <v>8</v>
      </c>
      <c r="D1599" s="15" t="s">
        <v>14</v>
      </c>
      <c r="E1599" s="16">
        <v>18.399999999999999</v>
      </c>
      <c r="F1599" s="15" t="s">
        <v>11</v>
      </c>
      <c r="G1599" s="15">
        <v>55.2</v>
      </c>
      <c r="H1599" s="17">
        <f t="shared" si="48"/>
        <v>5</v>
      </c>
      <c r="I1599" s="17">
        <f>YEAR(Sheet1!$A1599)</f>
        <v>2024</v>
      </c>
      <c r="J1599" s="17">
        <f>DAY(Sheet1!$A1599)</f>
        <v>13</v>
      </c>
      <c r="K1599" s="18" t="s">
        <v>2023</v>
      </c>
      <c r="L1599" s="19" t="str">
        <f t="shared" si="49"/>
        <v>Premium Customer</v>
      </c>
    </row>
    <row r="1600" spans="1:12" ht="15.75" customHeight="1" x14ac:dyDescent="0.3">
      <c r="A1600" s="7">
        <v>45651</v>
      </c>
      <c r="B1600" s="8" t="s">
        <v>1831</v>
      </c>
      <c r="C1600" s="8" t="s">
        <v>8</v>
      </c>
      <c r="D1600" s="8" t="s">
        <v>9</v>
      </c>
      <c r="E1600" s="9">
        <v>18.399999999999999</v>
      </c>
      <c r="F1600" s="8" t="s">
        <v>11</v>
      </c>
      <c r="G1600" s="8">
        <v>55.2</v>
      </c>
      <c r="H1600" s="10">
        <f t="shared" si="48"/>
        <v>12</v>
      </c>
      <c r="I1600" s="10">
        <f>YEAR(Sheet1!$A1600)</f>
        <v>2024</v>
      </c>
      <c r="J1600" s="10">
        <f>DAY(Sheet1!$A1600)</f>
        <v>25</v>
      </c>
      <c r="K1600" s="12" t="s">
        <v>2023</v>
      </c>
      <c r="L1600" s="13" t="str">
        <f t="shared" si="49"/>
        <v>Premium Customer</v>
      </c>
    </row>
    <row r="1601" spans="1:12" ht="15.75" customHeight="1" x14ac:dyDescent="0.3">
      <c r="A1601" s="14">
        <v>45756</v>
      </c>
      <c r="B1601" s="15" t="s">
        <v>964</v>
      </c>
      <c r="C1601" s="15" t="s">
        <v>8</v>
      </c>
      <c r="D1601" s="15" t="s">
        <v>14</v>
      </c>
      <c r="E1601" s="16">
        <v>27.61</v>
      </c>
      <c r="F1601" s="15" t="s">
        <v>10</v>
      </c>
      <c r="G1601" s="15">
        <v>55.22</v>
      </c>
      <c r="H1601" s="17">
        <f t="shared" si="48"/>
        <v>4</v>
      </c>
      <c r="I1601" s="17">
        <f>YEAR(Sheet1!$A1601)</f>
        <v>2025</v>
      </c>
      <c r="J1601" s="17">
        <f>DAY(Sheet1!$A1601)</f>
        <v>9</v>
      </c>
      <c r="K1601" s="18" t="s">
        <v>2023</v>
      </c>
      <c r="L1601" s="19" t="str">
        <f t="shared" si="49"/>
        <v>Premium Customer</v>
      </c>
    </row>
    <row r="1602" spans="1:12" ht="15.75" customHeight="1" x14ac:dyDescent="0.3">
      <c r="A1602" s="7">
        <v>45437</v>
      </c>
      <c r="B1602" s="8" t="s">
        <v>802</v>
      </c>
      <c r="C1602" s="8" t="s">
        <v>13</v>
      </c>
      <c r="D1602" s="8" t="s">
        <v>9</v>
      </c>
      <c r="E1602" s="9">
        <v>27.62</v>
      </c>
      <c r="F1602" s="8" t="s">
        <v>11</v>
      </c>
      <c r="G1602" s="8">
        <v>55.24</v>
      </c>
      <c r="H1602" s="10">
        <f t="shared" ref="H1602:H1665" si="50">MONTH(A1602)</f>
        <v>5</v>
      </c>
      <c r="I1602" s="10">
        <f>YEAR(Sheet1!$A1602)</f>
        <v>2024</v>
      </c>
      <c r="J1602" s="10">
        <f>DAY(Sheet1!$A1602)</f>
        <v>25</v>
      </c>
      <c r="K1602" s="12" t="s">
        <v>2022</v>
      </c>
      <c r="L1602" s="13" t="str">
        <f t="shared" ref="L1602:L1665" si="51">IF(G1602&gt;50,"Premium Customer","Regular Customer")</f>
        <v>Premium Customer</v>
      </c>
    </row>
    <row r="1603" spans="1:12" ht="15.75" customHeight="1" x14ac:dyDescent="0.3">
      <c r="A1603" s="14">
        <v>45618</v>
      </c>
      <c r="B1603" s="15" t="s">
        <v>979</v>
      </c>
      <c r="C1603" s="15" t="s">
        <v>13</v>
      </c>
      <c r="D1603" s="15" t="s">
        <v>14</v>
      </c>
      <c r="E1603" s="16">
        <v>27.62</v>
      </c>
      <c r="F1603" s="15" t="s">
        <v>11</v>
      </c>
      <c r="G1603" s="15">
        <v>55.24</v>
      </c>
      <c r="H1603" s="17">
        <f t="shared" si="50"/>
        <v>11</v>
      </c>
      <c r="I1603" s="17">
        <f>YEAR(Sheet1!$A1603)</f>
        <v>2024</v>
      </c>
      <c r="J1603" s="17">
        <f>DAY(Sheet1!$A1603)</f>
        <v>22</v>
      </c>
      <c r="K1603" s="18" t="s">
        <v>2023</v>
      </c>
      <c r="L1603" s="19" t="str">
        <f t="shared" si="51"/>
        <v>Premium Customer</v>
      </c>
    </row>
    <row r="1604" spans="1:12" ht="15.75" customHeight="1" x14ac:dyDescent="0.3">
      <c r="A1604" s="7">
        <v>45478</v>
      </c>
      <c r="B1604" s="8" t="s">
        <v>17</v>
      </c>
      <c r="C1604" s="8" t="s">
        <v>18</v>
      </c>
      <c r="D1604" s="8" t="s">
        <v>19</v>
      </c>
      <c r="E1604" s="9">
        <v>18.46</v>
      </c>
      <c r="F1604" s="8" t="s">
        <v>11</v>
      </c>
      <c r="G1604" s="8">
        <v>55.38</v>
      </c>
      <c r="H1604" s="10">
        <f t="shared" si="50"/>
        <v>7</v>
      </c>
      <c r="I1604" s="10">
        <f>YEAR(Sheet1!$A1604)</f>
        <v>2024</v>
      </c>
      <c r="J1604" s="10">
        <f>DAY(Sheet1!$A1604)</f>
        <v>5</v>
      </c>
      <c r="K1604" s="12" t="s">
        <v>2023</v>
      </c>
      <c r="L1604" s="13" t="str">
        <f t="shared" si="51"/>
        <v>Premium Customer</v>
      </c>
    </row>
    <row r="1605" spans="1:12" ht="15.75" customHeight="1" x14ac:dyDescent="0.3">
      <c r="A1605" s="14">
        <v>45772</v>
      </c>
      <c r="B1605" s="15" t="s">
        <v>728</v>
      </c>
      <c r="C1605" s="15" t="s">
        <v>18</v>
      </c>
      <c r="D1605" s="15" t="s">
        <v>14</v>
      </c>
      <c r="E1605" s="16">
        <v>18.5</v>
      </c>
      <c r="F1605" s="15" t="s">
        <v>10</v>
      </c>
      <c r="G1605" s="15">
        <v>55.5</v>
      </c>
      <c r="H1605" s="17">
        <f t="shared" si="50"/>
        <v>4</v>
      </c>
      <c r="I1605" s="17">
        <f>YEAR(Sheet1!$A1605)</f>
        <v>2025</v>
      </c>
      <c r="J1605" s="17">
        <f>DAY(Sheet1!$A1605)</f>
        <v>25</v>
      </c>
      <c r="K1605" s="18" t="s">
        <v>2023</v>
      </c>
      <c r="L1605" s="19" t="str">
        <f t="shared" si="51"/>
        <v>Premium Customer</v>
      </c>
    </row>
    <row r="1606" spans="1:12" ht="15.75" customHeight="1" x14ac:dyDescent="0.3">
      <c r="A1606" s="7">
        <v>45582</v>
      </c>
      <c r="B1606" s="8" t="s">
        <v>105</v>
      </c>
      <c r="C1606" s="8" t="s">
        <v>8</v>
      </c>
      <c r="D1606" s="8" t="s">
        <v>19</v>
      </c>
      <c r="E1606" s="9">
        <v>18.510000000000002</v>
      </c>
      <c r="F1606" s="8" t="s">
        <v>10</v>
      </c>
      <c r="G1606" s="8">
        <v>55.53</v>
      </c>
      <c r="H1606" s="10">
        <f t="shared" si="50"/>
        <v>10</v>
      </c>
      <c r="I1606" s="10">
        <f>YEAR(Sheet1!$A1606)</f>
        <v>2024</v>
      </c>
      <c r="J1606" s="10">
        <f>DAY(Sheet1!$A1606)</f>
        <v>17</v>
      </c>
      <c r="K1606" s="12" t="s">
        <v>2022</v>
      </c>
      <c r="L1606" s="13" t="str">
        <f t="shared" si="51"/>
        <v>Premium Customer</v>
      </c>
    </row>
    <row r="1607" spans="1:12" ht="15.75" customHeight="1" x14ac:dyDescent="0.3">
      <c r="A1607" s="14">
        <v>45649</v>
      </c>
      <c r="B1607" s="15" t="s">
        <v>1249</v>
      </c>
      <c r="C1607" s="15" t="s">
        <v>18</v>
      </c>
      <c r="D1607" s="15" t="s">
        <v>9</v>
      </c>
      <c r="E1607" s="16">
        <v>18.53</v>
      </c>
      <c r="F1607" s="15" t="s">
        <v>11</v>
      </c>
      <c r="G1607" s="15">
        <v>55.59</v>
      </c>
      <c r="H1607" s="17">
        <f t="shared" si="50"/>
        <v>12</v>
      </c>
      <c r="I1607" s="17">
        <f>YEAR(Sheet1!$A1607)</f>
        <v>2024</v>
      </c>
      <c r="J1607" s="17">
        <f>DAY(Sheet1!$A1607)</f>
        <v>23</v>
      </c>
      <c r="K1607" s="18" t="s">
        <v>2023</v>
      </c>
      <c r="L1607" s="19" t="str">
        <f t="shared" si="51"/>
        <v>Premium Customer</v>
      </c>
    </row>
    <row r="1608" spans="1:12" ht="15.75" customHeight="1" x14ac:dyDescent="0.3">
      <c r="A1608" s="7">
        <v>45747</v>
      </c>
      <c r="B1608" s="8" t="s">
        <v>1322</v>
      </c>
      <c r="C1608" s="8" t="s">
        <v>8</v>
      </c>
      <c r="D1608" s="8" t="s">
        <v>14</v>
      </c>
      <c r="E1608" s="9">
        <v>27.85</v>
      </c>
      <c r="F1608" s="8" t="s">
        <v>10</v>
      </c>
      <c r="G1608" s="8">
        <v>55.7</v>
      </c>
      <c r="H1608" s="10">
        <f t="shared" si="50"/>
        <v>3</v>
      </c>
      <c r="I1608" s="10">
        <f>YEAR(Sheet1!$A1608)</f>
        <v>2025</v>
      </c>
      <c r="J1608" s="10">
        <f>DAY(Sheet1!$A1608)</f>
        <v>31</v>
      </c>
      <c r="K1608" s="12" t="s">
        <v>2023</v>
      </c>
      <c r="L1608" s="13" t="str">
        <f t="shared" si="51"/>
        <v>Premium Customer</v>
      </c>
    </row>
    <row r="1609" spans="1:12" ht="15.75" customHeight="1" x14ac:dyDescent="0.3">
      <c r="A1609" s="14">
        <v>45551</v>
      </c>
      <c r="B1609" s="15" t="s">
        <v>1839</v>
      </c>
      <c r="C1609" s="15" t="s">
        <v>24</v>
      </c>
      <c r="D1609" s="15" t="s">
        <v>16</v>
      </c>
      <c r="E1609" s="16">
        <v>18.57</v>
      </c>
      <c r="F1609" s="15" t="s">
        <v>11</v>
      </c>
      <c r="G1609" s="15">
        <v>55.71</v>
      </c>
      <c r="H1609" s="17">
        <f t="shared" si="50"/>
        <v>9</v>
      </c>
      <c r="I1609" s="17">
        <f>YEAR(Sheet1!$A1609)</f>
        <v>2024</v>
      </c>
      <c r="J1609" s="17">
        <f>DAY(Sheet1!$A1609)</f>
        <v>16</v>
      </c>
      <c r="K1609" s="18" t="s">
        <v>2022</v>
      </c>
      <c r="L1609" s="19" t="str">
        <f t="shared" si="51"/>
        <v>Premium Customer</v>
      </c>
    </row>
    <row r="1610" spans="1:12" ht="15.75" customHeight="1" x14ac:dyDescent="0.3">
      <c r="A1610" s="7">
        <v>45695</v>
      </c>
      <c r="B1610" s="8" t="s">
        <v>508</v>
      </c>
      <c r="C1610" s="8" t="s">
        <v>8</v>
      </c>
      <c r="D1610" s="8" t="s">
        <v>9</v>
      </c>
      <c r="E1610" s="9">
        <v>27.92</v>
      </c>
      <c r="F1610" s="8" t="s">
        <v>11</v>
      </c>
      <c r="G1610" s="8">
        <v>55.84</v>
      </c>
      <c r="H1610" s="10">
        <f t="shared" si="50"/>
        <v>2</v>
      </c>
      <c r="I1610" s="10">
        <f>YEAR(Sheet1!$A1610)</f>
        <v>2025</v>
      </c>
      <c r="J1610" s="10">
        <f>DAY(Sheet1!$A1610)</f>
        <v>7</v>
      </c>
      <c r="K1610" s="12" t="s">
        <v>2023</v>
      </c>
      <c r="L1610" s="13" t="str">
        <f t="shared" si="51"/>
        <v>Premium Customer</v>
      </c>
    </row>
    <row r="1611" spans="1:12" ht="15.75" customHeight="1" x14ac:dyDescent="0.3">
      <c r="A1611" s="14">
        <v>45689</v>
      </c>
      <c r="B1611" s="15" t="s">
        <v>375</v>
      </c>
      <c r="C1611" s="15" t="s">
        <v>24</v>
      </c>
      <c r="D1611" s="15" t="s">
        <v>16</v>
      </c>
      <c r="E1611" s="16">
        <v>28.03</v>
      </c>
      <c r="F1611" s="15" t="s">
        <v>11</v>
      </c>
      <c r="G1611" s="15">
        <v>56.06</v>
      </c>
      <c r="H1611" s="17">
        <f t="shared" si="50"/>
        <v>2</v>
      </c>
      <c r="I1611" s="17">
        <f>YEAR(Sheet1!$A1611)</f>
        <v>2025</v>
      </c>
      <c r="J1611" s="17">
        <f>DAY(Sheet1!$A1611)</f>
        <v>1</v>
      </c>
      <c r="K1611" s="18" t="s">
        <v>2022</v>
      </c>
      <c r="L1611" s="19" t="str">
        <f t="shared" si="51"/>
        <v>Premium Customer</v>
      </c>
    </row>
    <row r="1612" spans="1:12" ht="15.75" customHeight="1" x14ac:dyDescent="0.3">
      <c r="A1612" s="7">
        <v>45724</v>
      </c>
      <c r="B1612" s="8" t="s">
        <v>897</v>
      </c>
      <c r="C1612" s="8" t="s">
        <v>24</v>
      </c>
      <c r="D1612" s="8" t="s">
        <v>14</v>
      </c>
      <c r="E1612" s="9">
        <v>28.04</v>
      </c>
      <c r="F1612" s="8" t="s">
        <v>11</v>
      </c>
      <c r="G1612" s="8">
        <v>56.08</v>
      </c>
      <c r="H1612" s="10">
        <f t="shared" si="50"/>
        <v>3</v>
      </c>
      <c r="I1612" s="10">
        <f>YEAR(Sheet1!$A1612)</f>
        <v>2025</v>
      </c>
      <c r="J1612" s="10">
        <f>DAY(Sheet1!$A1612)</f>
        <v>8</v>
      </c>
      <c r="K1612" s="12" t="s">
        <v>2022</v>
      </c>
      <c r="L1612" s="13" t="str">
        <f t="shared" si="51"/>
        <v>Premium Customer</v>
      </c>
    </row>
    <row r="1613" spans="1:12" ht="15.75" customHeight="1" x14ac:dyDescent="0.3">
      <c r="A1613" s="14">
        <v>45487</v>
      </c>
      <c r="B1613" s="15" t="s">
        <v>1730</v>
      </c>
      <c r="C1613" s="15" t="s">
        <v>8</v>
      </c>
      <c r="D1613" s="15" t="s">
        <v>16</v>
      </c>
      <c r="E1613" s="16">
        <v>18.7</v>
      </c>
      <c r="F1613" s="15" t="s">
        <v>11</v>
      </c>
      <c r="G1613" s="15">
        <v>56.1</v>
      </c>
      <c r="H1613" s="17">
        <f t="shared" si="50"/>
        <v>7</v>
      </c>
      <c r="I1613" s="17">
        <f>YEAR(Sheet1!$A1613)</f>
        <v>2024</v>
      </c>
      <c r="J1613" s="17">
        <f>DAY(Sheet1!$A1613)</f>
        <v>14</v>
      </c>
      <c r="K1613" s="18" t="s">
        <v>2023</v>
      </c>
      <c r="L1613" s="19" t="str">
        <f t="shared" si="51"/>
        <v>Premium Customer</v>
      </c>
    </row>
    <row r="1614" spans="1:12" ht="15.75" customHeight="1" x14ac:dyDescent="0.3">
      <c r="A1614" s="7">
        <v>45632</v>
      </c>
      <c r="B1614" s="8" t="s">
        <v>1382</v>
      </c>
      <c r="C1614" s="8" t="s">
        <v>13</v>
      </c>
      <c r="D1614" s="8" t="s">
        <v>14</v>
      </c>
      <c r="E1614" s="9">
        <v>18.72</v>
      </c>
      <c r="F1614" s="8" t="s">
        <v>10</v>
      </c>
      <c r="G1614" s="8">
        <v>56.16</v>
      </c>
      <c r="H1614" s="10">
        <f t="shared" si="50"/>
        <v>12</v>
      </c>
      <c r="I1614" s="10">
        <f>YEAR(Sheet1!$A1614)</f>
        <v>2024</v>
      </c>
      <c r="J1614" s="10">
        <f>DAY(Sheet1!$A1614)</f>
        <v>6</v>
      </c>
      <c r="K1614" s="12" t="s">
        <v>2023</v>
      </c>
      <c r="L1614" s="13" t="str">
        <f t="shared" si="51"/>
        <v>Premium Customer</v>
      </c>
    </row>
    <row r="1615" spans="1:12" ht="15.75" customHeight="1" x14ac:dyDescent="0.3">
      <c r="A1615" s="14">
        <v>45698</v>
      </c>
      <c r="B1615" s="15" t="s">
        <v>169</v>
      </c>
      <c r="C1615" s="15" t="s">
        <v>13</v>
      </c>
      <c r="D1615" s="15" t="s">
        <v>16</v>
      </c>
      <c r="E1615" s="16">
        <v>28.08</v>
      </c>
      <c r="F1615" s="15" t="s">
        <v>11</v>
      </c>
      <c r="G1615" s="15">
        <v>56.16</v>
      </c>
      <c r="H1615" s="17">
        <f t="shared" si="50"/>
        <v>2</v>
      </c>
      <c r="I1615" s="17">
        <f>YEAR(Sheet1!$A1615)</f>
        <v>2025</v>
      </c>
      <c r="J1615" s="17">
        <f>DAY(Sheet1!$A1615)</f>
        <v>10</v>
      </c>
      <c r="K1615" s="18" t="s">
        <v>2022</v>
      </c>
      <c r="L1615" s="19" t="str">
        <f t="shared" si="51"/>
        <v>Premium Customer</v>
      </c>
    </row>
    <row r="1616" spans="1:12" ht="15.75" customHeight="1" x14ac:dyDescent="0.3">
      <c r="A1616" s="7">
        <v>45435</v>
      </c>
      <c r="B1616" s="8" t="s">
        <v>923</v>
      </c>
      <c r="C1616" s="8" t="s">
        <v>18</v>
      </c>
      <c r="D1616" s="8" t="s">
        <v>16</v>
      </c>
      <c r="E1616" s="9">
        <v>28.09</v>
      </c>
      <c r="F1616" s="8" t="s">
        <v>11</v>
      </c>
      <c r="G1616" s="8">
        <v>56.18</v>
      </c>
      <c r="H1616" s="10">
        <f t="shared" si="50"/>
        <v>5</v>
      </c>
      <c r="I1616" s="10">
        <f>YEAR(Sheet1!$A1616)</f>
        <v>2024</v>
      </c>
      <c r="J1616" s="10">
        <f>DAY(Sheet1!$A1616)</f>
        <v>23</v>
      </c>
      <c r="K1616" s="12" t="s">
        <v>2022</v>
      </c>
      <c r="L1616" s="13" t="str">
        <f t="shared" si="51"/>
        <v>Premium Customer</v>
      </c>
    </row>
    <row r="1617" spans="1:12" ht="15.75" customHeight="1" x14ac:dyDescent="0.3">
      <c r="A1617" s="14">
        <v>45638</v>
      </c>
      <c r="B1617" s="15" t="s">
        <v>1700</v>
      </c>
      <c r="C1617" s="15" t="s">
        <v>13</v>
      </c>
      <c r="D1617" s="15" t="s">
        <v>19</v>
      </c>
      <c r="E1617" s="16">
        <v>28.12</v>
      </c>
      <c r="F1617" s="15" t="s">
        <v>10</v>
      </c>
      <c r="G1617" s="15">
        <v>56.24</v>
      </c>
      <c r="H1617" s="17">
        <f t="shared" si="50"/>
        <v>12</v>
      </c>
      <c r="I1617" s="17">
        <f>YEAR(Sheet1!$A1617)</f>
        <v>2024</v>
      </c>
      <c r="J1617" s="17">
        <f>DAY(Sheet1!$A1617)</f>
        <v>12</v>
      </c>
      <c r="K1617" s="18" t="s">
        <v>2022</v>
      </c>
      <c r="L1617" s="19" t="str">
        <f t="shared" si="51"/>
        <v>Premium Customer</v>
      </c>
    </row>
    <row r="1618" spans="1:12" ht="15.75" customHeight="1" x14ac:dyDescent="0.3">
      <c r="A1618" s="7">
        <v>45750</v>
      </c>
      <c r="B1618" s="8" t="s">
        <v>140</v>
      </c>
      <c r="C1618" s="8" t="s">
        <v>8</v>
      </c>
      <c r="D1618" s="8" t="s">
        <v>14</v>
      </c>
      <c r="E1618" s="9">
        <v>28.16</v>
      </c>
      <c r="F1618" s="8" t="s">
        <v>11</v>
      </c>
      <c r="G1618" s="8">
        <v>56.32</v>
      </c>
      <c r="H1618" s="10">
        <f t="shared" si="50"/>
        <v>4</v>
      </c>
      <c r="I1618" s="10">
        <f>YEAR(Sheet1!$A1618)</f>
        <v>2025</v>
      </c>
      <c r="J1618" s="10">
        <f>DAY(Sheet1!$A1618)</f>
        <v>3</v>
      </c>
      <c r="K1618" s="12" t="s">
        <v>2022</v>
      </c>
      <c r="L1618" s="13" t="str">
        <f t="shared" si="51"/>
        <v>Premium Customer</v>
      </c>
    </row>
    <row r="1619" spans="1:12" ht="15.75" customHeight="1" x14ac:dyDescent="0.3">
      <c r="A1619" s="14">
        <v>45489</v>
      </c>
      <c r="B1619" s="15" t="s">
        <v>1206</v>
      </c>
      <c r="C1619" s="15" t="s">
        <v>8</v>
      </c>
      <c r="D1619" s="15" t="s">
        <v>16</v>
      </c>
      <c r="E1619" s="16">
        <v>18.78</v>
      </c>
      <c r="F1619" s="15" t="s">
        <v>11</v>
      </c>
      <c r="G1619" s="15">
        <v>56.34</v>
      </c>
      <c r="H1619" s="17">
        <f t="shared" si="50"/>
        <v>7</v>
      </c>
      <c r="I1619" s="17">
        <f>YEAR(Sheet1!$A1619)</f>
        <v>2024</v>
      </c>
      <c r="J1619" s="17">
        <f>DAY(Sheet1!$A1619)</f>
        <v>16</v>
      </c>
      <c r="K1619" s="18" t="s">
        <v>2023</v>
      </c>
      <c r="L1619" s="19" t="str">
        <f t="shared" si="51"/>
        <v>Premium Customer</v>
      </c>
    </row>
    <row r="1620" spans="1:12" ht="15.75" customHeight="1" x14ac:dyDescent="0.3">
      <c r="A1620" s="7">
        <v>45584</v>
      </c>
      <c r="B1620" s="8" t="s">
        <v>201</v>
      </c>
      <c r="C1620" s="8" t="s">
        <v>24</v>
      </c>
      <c r="D1620" s="8" t="s">
        <v>14</v>
      </c>
      <c r="E1620" s="9">
        <v>28.24</v>
      </c>
      <c r="F1620" s="8" t="s">
        <v>11</v>
      </c>
      <c r="G1620" s="8">
        <v>56.48</v>
      </c>
      <c r="H1620" s="10">
        <f t="shared" si="50"/>
        <v>10</v>
      </c>
      <c r="I1620" s="10">
        <f>YEAR(Sheet1!$A1620)</f>
        <v>2024</v>
      </c>
      <c r="J1620" s="10">
        <f>DAY(Sheet1!$A1620)</f>
        <v>19</v>
      </c>
      <c r="K1620" s="12" t="s">
        <v>2022</v>
      </c>
      <c r="L1620" s="13" t="str">
        <f t="shared" si="51"/>
        <v>Premium Customer</v>
      </c>
    </row>
    <row r="1621" spans="1:12" ht="15.75" customHeight="1" x14ac:dyDescent="0.3">
      <c r="A1621" s="14">
        <v>45529</v>
      </c>
      <c r="B1621" s="15" t="s">
        <v>1744</v>
      </c>
      <c r="C1621" s="15" t="s">
        <v>13</v>
      </c>
      <c r="D1621" s="15" t="s">
        <v>14</v>
      </c>
      <c r="E1621" s="16">
        <v>28.26</v>
      </c>
      <c r="F1621" s="15" t="s">
        <v>10</v>
      </c>
      <c r="G1621" s="15">
        <v>56.52</v>
      </c>
      <c r="H1621" s="17">
        <f t="shared" si="50"/>
        <v>8</v>
      </c>
      <c r="I1621" s="17">
        <f>YEAR(Sheet1!$A1621)</f>
        <v>2024</v>
      </c>
      <c r="J1621" s="17">
        <f>DAY(Sheet1!$A1621)</f>
        <v>25</v>
      </c>
      <c r="K1621" s="18" t="s">
        <v>2023</v>
      </c>
      <c r="L1621" s="19" t="str">
        <f t="shared" si="51"/>
        <v>Premium Customer</v>
      </c>
    </row>
    <row r="1622" spans="1:12" ht="15.75" customHeight="1" x14ac:dyDescent="0.3">
      <c r="A1622" s="7">
        <v>45610</v>
      </c>
      <c r="B1622" s="8" t="s">
        <v>285</v>
      </c>
      <c r="C1622" s="8" t="s">
        <v>13</v>
      </c>
      <c r="D1622" s="8" t="s">
        <v>16</v>
      </c>
      <c r="E1622" s="9">
        <v>18.850000000000001</v>
      </c>
      <c r="F1622" s="8" t="s">
        <v>10</v>
      </c>
      <c r="G1622" s="8">
        <v>56.55</v>
      </c>
      <c r="H1622" s="10">
        <f t="shared" si="50"/>
        <v>11</v>
      </c>
      <c r="I1622" s="10">
        <f>YEAR(Sheet1!$A1622)</f>
        <v>2024</v>
      </c>
      <c r="J1622" s="10">
        <f>DAY(Sheet1!$A1622)</f>
        <v>14</v>
      </c>
      <c r="K1622" s="12" t="s">
        <v>2023</v>
      </c>
      <c r="L1622" s="13" t="str">
        <f t="shared" si="51"/>
        <v>Premium Customer</v>
      </c>
    </row>
    <row r="1623" spans="1:12" ht="15.75" customHeight="1" x14ac:dyDescent="0.3">
      <c r="A1623" s="14">
        <v>45439</v>
      </c>
      <c r="B1623" s="15" t="s">
        <v>1365</v>
      </c>
      <c r="C1623" s="15" t="s">
        <v>24</v>
      </c>
      <c r="D1623" s="15" t="s">
        <v>14</v>
      </c>
      <c r="E1623" s="16">
        <v>28.29</v>
      </c>
      <c r="F1623" s="15" t="s">
        <v>10</v>
      </c>
      <c r="G1623" s="15">
        <v>56.58</v>
      </c>
      <c r="H1623" s="17">
        <f t="shared" si="50"/>
        <v>5</v>
      </c>
      <c r="I1623" s="17">
        <f>YEAR(Sheet1!$A1623)</f>
        <v>2024</v>
      </c>
      <c r="J1623" s="17">
        <f>DAY(Sheet1!$A1623)</f>
        <v>27</v>
      </c>
      <c r="K1623" s="18" t="s">
        <v>2023</v>
      </c>
      <c r="L1623" s="19" t="str">
        <f t="shared" si="51"/>
        <v>Premium Customer</v>
      </c>
    </row>
    <row r="1624" spans="1:12" ht="15.75" customHeight="1" x14ac:dyDescent="0.3">
      <c r="A1624" s="7">
        <v>45574</v>
      </c>
      <c r="B1624" s="8" t="s">
        <v>292</v>
      </c>
      <c r="C1624" s="8" t="s">
        <v>24</v>
      </c>
      <c r="D1624" s="8" t="s">
        <v>9</v>
      </c>
      <c r="E1624" s="9">
        <v>18.86</v>
      </c>
      <c r="F1624" s="8" t="s">
        <v>11</v>
      </c>
      <c r="G1624" s="8">
        <v>56.58</v>
      </c>
      <c r="H1624" s="10">
        <f t="shared" si="50"/>
        <v>10</v>
      </c>
      <c r="I1624" s="10">
        <f>YEAR(Sheet1!$A1624)</f>
        <v>2024</v>
      </c>
      <c r="J1624" s="10">
        <f>DAY(Sheet1!$A1624)</f>
        <v>9</v>
      </c>
      <c r="K1624" s="12" t="s">
        <v>2022</v>
      </c>
      <c r="L1624" s="13" t="str">
        <f t="shared" si="51"/>
        <v>Premium Customer</v>
      </c>
    </row>
    <row r="1625" spans="1:12" ht="15.75" customHeight="1" x14ac:dyDescent="0.3">
      <c r="A1625" s="14">
        <v>45668</v>
      </c>
      <c r="B1625" s="15" t="s">
        <v>1604</v>
      </c>
      <c r="C1625" s="15" t="s">
        <v>24</v>
      </c>
      <c r="D1625" s="15" t="s">
        <v>19</v>
      </c>
      <c r="E1625" s="16">
        <v>28.3</v>
      </c>
      <c r="F1625" s="15" t="s">
        <v>10</v>
      </c>
      <c r="G1625" s="15">
        <v>56.6</v>
      </c>
      <c r="H1625" s="17">
        <f t="shared" si="50"/>
        <v>1</v>
      </c>
      <c r="I1625" s="17">
        <f>YEAR(Sheet1!$A1625)</f>
        <v>2025</v>
      </c>
      <c r="J1625" s="17">
        <f>DAY(Sheet1!$A1625)</f>
        <v>11</v>
      </c>
      <c r="K1625" s="18" t="s">
        <v>2022</v>
      </c>
      <c r="L1625" s="19" t="str">
        <f t="shared" si="51"/>
        <v>Premium Customer</v>
      </c>
    </row>
    <row r="1626" spans="1:12" ht="15.75" customHeight="1" x14ac:dyDescent="0.3">
      <c r="A1626" s="7">
        <v>45533</v>
      </c>
      <c r="B1626" s="8" t="s">
        <v>1641</v>
      </c>
      <c r="C1626" s="8" t="s">
        <v>18</v>
      </c>
      <c r="D1626" s="8" t="s">
        <v>16</v>
      </c>
      <c r="E1626" s="9">
        <v>18.87</v>
      </c>
      <c r="F1626" s="8" t="s">
        <v>11</v>
      </c>
      <c r="G1626" s="8">
        <v>56.61</v>
      </c>
      <c r="H1626" s="10">
        <f t="shared" si="50"/>
        <v>8</v>
      </c>
      <c r="I1626" s="10">
        <f>YEAR(Sheet1!$A1626)</f>
        <v>2024</v>
      </c>
      <c r="J1626" s="10">
        <f>DAY(Sheet1!$A1626)</f>
        <v>29</v>
      </c>
      <c r="K1626" s="12" t="s">
        <v>2022</v>
      </c>
      <c r="L1626" s="13" t="str">
        <f t="shared" si="51"/>
        <v>Premium Customer</v>
      </c>
    </row>
    <row r="1627" spans="1:12" ht="15.75" customHeight="1" x14ac:dyDescent="0.3">
      <c r="A1627" s="14">
        <v>45454</v>
      </c>
      <c r="B1627" s="15" t="s">
        <v>1118</v>
      </c>
      <c r="C1627" s="15" t="s">
        <v>8</v>
      </c>
      <c r="D1627" s="15" t="s">
        <v>16</v>
      </c>
      <c r="E1627" s="16">
        <v>28.33</v>
      </c>
      <c r="F1627" s="15" t="s">
        <v>10</v>
      </c>
      <c r="G1627" s="15">
        <v>56.66</v>
      </c>
      <c r="H1627" s="17">
        <f t="shared" si="50"/>
        <v>6</v>
      </c>
      <c r="I1627" s="17">
        <f>YEAR(Sheet1!$A1627)</f>
        <v>2024</v>
      </c>
      <c r="J1627" s="17">
        <f>DAY(Sheet1!$A1627)</f>
        <v>11</v>
      </c>
      <c r="K1627" s="18" t="s">
        <v>2022</v>
      </c>
      <c r="L1627" s="19" t="str">
        <f t="shared" si="51"/>
        <v>Premium Customer</v>
      </c>
    </row>
    <row r="1628" spans="1:12" ht="15.75" customHeight="1" x14ac:dyDescent="0.3">
      <c r="A1628" s="7">
        <v>45491</v>
      </c>
      <c r="B1628" s="8" t="s">
        <v>311</v>
      </c>
      <c r="C1628" s="8" t="s">
        <v>18</v>
      </c>
      <c r="D1628" s="8" t="s">
        <v>9</v>
      </c>
      <c r="E1628" s="9">
        <v>28.34</v>
      </c>
      <c r="F1628" s="8" t="s">
        <v>11</v>
      </c>
      <c r="G1628" s="8">
        <v>56.68</v>
      </c>
      <c r="H1628" s="10">
        <f t="shared" si="50"/>
        <v>7</v>
      </c>
      <c r="I1628" s="10">
        <f>YEAR(Sheet1!$A1628)</f>
        <v>2024</v>
      </c>
      <c r="J1628" s="10">
        <f>DAY(Sheet1!$A1628)</f>
        <v>18</v>
      </c>
      <c r="K1628" s="12" t="s">
        <v>2023</v>
      </c>
      <c r="L1628" s="13" t="str">
        <f t="shared" si="51"/>
        <v>Premium Customer</v>
      </c>
    </row>
    <row r="1629" spans="1:12" ht="15.75" customHeight="1" x14ac:dyDescent="0.3">
      <c r="A1629" s="14">
        <v>45553</v>
      </c>
      <c r="B1629" s="15" t="s">
        <v>1583</v>
      </c>
      <c r="C1629" s="15" t="s">
        <v>24</v>
      </c>
      <c r="D1629" s="15" t="s">
        <v>9</v>
      </c>
      <c r="E1629" s="16">
        <v>28.34</v>
      </c>
      <c r="F1629" s="15" t="s">
        <v>11</v>
      </c>
      <c r="G1629" s="15">
        <v>56.68</v>
      </c>
      <c r="H1629" s="17">
        <f t="shared" si="50"/>
        <v>9</v>
      </c>
      <c r="I1629" s="17">
        <f>YEAR(Sheet1!$A1629)</f>
        <v>2024</v>
      </c>
      <c r="J1629" s="17">
        <f>DAY(Sheet1!$A1629)</f>
        <v>18</v>
      </c>
      <c r="K1629" s="18" t="s">
        <v>2023</v>
      </c>
      <c r="L1629" s="19" t="str">
        <f t="shared" si="51"/>
        <v>Premium Customer</v>
      </c>
    </row>
    <row r="1630" spans="1:12" ht="15.75" customHeight="1" x14ac:dyDescent="0.3">
      <c r="A1630" s="7">
        <v>45725</v>
      </c>
      <c r="B1630" s="8" t="s">
        <v>1107</v>
      </c>
      <c r="C1630" s="8" t="s">
        <v>8</v>
      </c>
      <c r="D1630" s="8" t="s">
        <v>16</v>
      </c>
      <c r="E1630" s="9">
        <v>18.91</v>
      </c>
      <c r="F1630" s="8" t="s">
        <v>10</v>
      </c>
      <c r="G1630" s="8">
        <v>56.73</v>
      </c>
      <c r="H1630" s="10">
        <f t="shared" si="50"/>
        <v>3</v>
      </c>
      <c r="I1630" s="10">
        <f>YEAR(Sheet1!$A1630)</f>
        <v>2025</v>
      </c>
      <c r="J1630" s="10">
        <f>DAY(Sheet1!$A1630)</f>
        <v>9</v>
      </c>
      <c r="K1630" s="12" t="s">
        <v>2023</v>
      </c>
      <c r="L1630" s="13" t="str">
        <f t="shared" si="51"/>
        <v>Premium Customer</v>
      </c>
    </row>
    <row r="1631" spans="1:12" ht="15.75" customHeight="1" x14ac:dyDescent="0.3">
      <c r="A1631" s="14">
        <v>45760</v>
      </c>
      <c r="B1631" s="15" t="s">
        <v>422</v>
      </c>
      <c r="C1631" s="15" t="s">
        <v>13</v>
      </c>
      <c r="D1631" s="15" t="s">
        <v>9</v>
      </c>
      <c r="E1631" s="16">
        <v>28.45</v>
      </c>
      <c r="F1631" s="15" t="s">
        <v>11</v>
      </c>
      <c r="G1631" s="15">
        <v>56.9</v>
      </c>
      <c r="H1631" s="17">
        <f t="shared" si="50"/>
        <v>4</v>
      </c>
      <c r="I1631" s="17">
        <f>YEAR(Sheet1!$A1631)</f>
        <v>2025</v>
      </c>
      <c r="J1631" s="17">
        <f>DAY(Sheet1!$A1631)</f>
        <v>13</v>
      </c>
      <c r="K1631" s="18" t="s">
        <v>2023</v>
      </c>
      <c r="L1631" s="19" t="str">
        <f t="shared" si="51"/>
        <v>Premium Customer</v>
      </c>
    </row>
    <row r="1632" spans="1:12" ht="15.75" customHeight="1" x14ac:dyDescent="0.3">
      <c r="A1632" s="7">
        <v>45620</v>
      </c>
      <c r="B1632" s="8" t="s">
        <v>114</v>
      </c>
      <c r="C1632" s="8" t="s">
        <v>13</v>
      </c>
      <c r="D1632" s="8" t="s">
        <v>9</v>
      </c>
      <c r="E1632" s="9">
        <v>28.48</v>
      </c>
      <c r="F1632" s="8" t="s">
        <v>10</v>
      </c>
      <c r="G1632" s="8">
        <v>56.96</v>
      </c>
      <c r="H1632" s="10">
        <f t="shared" si="50"/>
        <v>11</v>
      </c>
      <c r="I1632" s="10">
        <f>YEAR(Sheet1!$A1632)</f>
        <v>2024</v>
      </c>
      <c r="J1632" s="10">
        <f>DAY(Sheet1!$A1632)</f>
        <v>24</v>
      </c>
      <c r="K1632" s="12" t="s">
        <v>2023</v>
      </c>
      <c r="L1632" s="13" t="str">
        <f t="shared" si="51"/>
        <v>Premium Customer</v>
      </c>
    </row>
    <row r="1633" spans="1:12" ht="15.75" customHeight="1" x14ac:dyDescent="0.3">
      <c r="A1633" s="14">
        <v>45416</v>
      </c>
      <c r="B1633" s="15" t="s">
        <v>1920</v>
      </c>
      <c r="C1633" s="15" t="s">
        <v>13</v>
      </c>
      <c r="D1633" s="15" t="s">
        <v>9</v>
      </c>
      <c r="E1633" s="16">
        <v>28.52</v>
      </c>
      <c r="F1633" s="15" t="s">
        <v>10</v>
      </c>
      <c r="G1633" s="15">
        <v>57.04</v>
      </c>
      <c r="H1633" s="17">
        <f t="shared" si="50"/>
        <v>5</v>
      </c>
      <c r="I1633" s="17">
        <f>YEAR(Sheet1!$A1633)</f>
        <v>2024</v>
      </c>
      <c r="J1633" s="17">
        <f>DAY(Sheet1!$A1633)</f>
        <v>4</v>
      </c>
      <c r="K1633" s="18" t="s">
        <v>2022</v>
      </c>
      <c r="L1633" s="19" t="str">
        <f t="shared" si="51"/>
        <v>Premium Customer</v>
      </c>
    </row>
    <row r="1634" spans="1:12" ht="15.75" customHeight="1" x14ac:dyDescent="0.3">
      <c r="A1634" s="7">
        <v>45438</v>
      </c>
      <c r="B1634" s="8" t="s">
        <v>181</v>
      </c>
      <c r="C1634" s="8" t="s">
        <v>13</v>
      </c>
      <c r="D1634" s="8" t="s">
        <v>16</v>
      </c>
      <c r="E1634" s="9">
        <v>19.02</v>
      </c>
      <c r="F1634" s="8" t="s">
        <v>10</v>
      </c>
      <c r="G1634" s="8">
        <v>57.06</v>
      </c>
      <c r="H1634" s="10">
        <f t="shared" si="50"/>
        <v>5</v>
      </c>
      <c r="I1634" s="10">
        <f>YEAR(Sheet1!$A1634)</f>
        <v>2024</v>
      </c>
      <c r="J1634" s="10">
        <f>DAY(Sheet1!$A1634)</f>
        <v>26</v>
      </c>
      <c r="K1634" s="12" t="s">
        <v>2022</v>
      </c>
      <c r="L1634" s="13" t="str">
        <f t="shared" si="51"/>
        <v>Premium Customer</v>
      </c>
    </row>
    <row r="1635" spans="1:12" ht="15.75" customHeight="1" x14ac:dyDescent="0.3">
      <c r="A1635" s="14">
        <v>45757</v>
      </c>
      <c r="B1635" s="15" t="s">
        <v>420</v>
      </c>
      <c r="C1635" s="15" t="s">
        <v>8</v>
      </c>
      <c r="D1635" s="15" t="s">
        <v>16</v>
      </c>
      <c r="E1635" s="16">
        <v>19.03</v>
      </c>
      <c r="F1635" s="15" t="s">
        <v>11</v>
      </c>
      <c r="G1635" s="15">
        <v>57.09</v>
      </c>
      <c r="H1635" s="17">
        <f t="shared" si="50"/>
        <v>4</v>
      </c>
      <c r="I1635" s="17">
        <f>YEAR(Sheet1!$A1635)</f>
        <v>2025</v>
      </c>
      <c r="J1635" s="17">
        <f>DAY(Sheet1!$A1635)</f>
        <v>10</v>
      </c>
      <c r="K1635" s="18" t="s">
        <v>2023</v>
      </c>
      <c r="L1635" s="19" t="str">
        <f t="shared" si="51"/>
        <v>Premium Customer</v>
      </c>
    </row>
    <row r="1636" spans="1:12" ht="15.75" customHeight="1" x14ac:dyDescent="0.3">
      <c r="A1636" s="7">
        <v>45622</v>
      </c>
      <c r="B1636" s="8" t="s">
        <v>248</v>
      </c>
      <c r="C1636" s="8" t="s">
        <v>13</v>
      </c>
      <c r="D1636" s="8" t="s">
        <v>14</v>
      </c>
      <c r="E1636" s="9">
        <v>28.59</v>
      </c>
      <c r="F1636" s="8" t="s">
        <v>10</v>
      </c>
      <c r="G1636" s="8">
        <v>57.18</v>
      </c>
      <c r="H1636" s="10">
        <f t="shared" si="50"/>
        <v>11</v>
      </c>
      <c r="I1636" s="10">
        <f>YEAR(Sheet1!$A1636)</f>
        <v>2024</v>
      </c>
      <c r="J1636" s="10">
        <f>DAY(Sheet1!$A1636)</f>
        <v>26</v>
      </c>
      <c r="K1636" s="12" t="s">
        <v>2022</v>
      </c>
      <c r="L1636" s="13" t="str">
        <f t="shared" si="51"/>
        <v>Premium Customer</v>
      </c>
    </row>
    <row r="1637" spans="1:12" ht="15.75" customHeight="1" x14ac:dyDescent="0.3">
      <c r="A1637" s="14">
        <v>45435</v>
      </c>
      <c r="B1637" s="15" t="s">
        <v>477</v>
      </c>
      <c r="C1637" s="15" t="s">
        <v>24</v>
      </c>
      <c r="D1637" s="15" t="s">
        <v>19</v>
      </c>
      <c r="E1637" s="16">
        <v>28.6</v>
      </c>
      <c r="F1637" s="15" t="s">
        <v>11</v>
      </c>
      <c r="G1637" s="15">
        <v>57.2</v>
      </c>
      <c r="H1637" s="17">
        <f t="shared" si="50"/>
        <v>5</v>
      </c>
      <c r="I1637" s="17">
        <f>YEAR(Sheet1!$A1637)</f>
        <v>2024</v>
      </c>
      <c r="J1637" s="17">
        <f>DAY(Sheet1!$A1637)</f>
        <v>23</v>
      </c>
      <c r="K1637" s="18" t="s">
        <v>2023</v>
      </c>
      <c r="L1637" s="19" t="str">
        <f t="shared" si="51"/>
        <v>Premium Customer</v>
      </c>
    </row>
    <row r="1638" spans="1:12" ht="15.75" customHeight="1" x14ac:dyDescent="0.3">
      <c r="A1638" s="7">
        <v>45477</v>
      </c>
      <c r="B1638" s="8" t="s">
        <v>1878</v>
      </c>
      <c r="C1638" s="8" t="s">
        <v>13</v>
      </c>
      <c r="D1638" s="8" t="s">
        <v>9</v>
      </c>
      <c r="E1638" s="9">
        <v>28.6</v>
      </c>
      <c r="F1638" s="8" t="s">
        <v>10</v>
      </c>
      <c r="G1638" s="8">
        <v>57.2</v>
      </c>
      <c r="H1638" s="10">
        <f t="shared" si="50"/>
        <v>7</v>
      </c>
      <c r="I1638" s="10">
        <f>YEAR(Sheet1!$A1638)</f>
        <v>2024</v>
      </c>
      <c r="J1638" s="10">
        <f>DAY(Sheet1!$A1638)</f>
        <v>4</v>
      </c>
      <c r="K1638" s="12" t="s">
        <v>2023</v>
      </c>
      <c r="L1638" s="13" t="str">
        <f t="shared" si="51"/>
        <v>Premium Customer</v>
      </c>
    </row>
    <row r="1639" spans="1:12" ht="15.75" customHeight="1" x14ac:dyDescent="0.3">
      <c r="A1639" s="14">
        <v>45738</v>
      </c>
      <c r="B1639" s="15" t="s">
        <v>496</v>
      </c>
      <c r="C1639" s="15" t="s">
        <v>24</v>
      </c>
      <c r="D1639" s="15" t="s">
        <v>16</v>
      </c>
      <c r="E1639" s="16">
        <v>28.62</v>
      </c>
      <c r="F1639" s="15" t="s">
        <v>11</v>
      </c>
      <c r="G1639" s="15">
        <v>57.24</v>
      </c>
      <c r="H1639" s="17">
        <f t="shared" si="50"/>
        <v>3</v>
      </c>
      <c r="I1639" s="17">
        <f>YEAR(Sheet1!$A1639)</f>
        <v>2025</v>
      </c>
      <c r="J1639" s="17">
        <f>DAY(Sheet1!$A1639)</f>
        <v>22</v>
      </c>
      <c r="K1639" s="18" t="s">
        <v>2023</v>
      </c>
      <c r="L1639" s="19" t="str">
        <f t="shared" si="51"/>
        <v>Premium Customer</v>
      </c>
    </row>
    <row r="1640" spans="1:12" ht="15.75" customHeight="1" x14ac:dyDescent="0.3">
      <c r="A1640" s="7">
        <v>45554</v>
      </c>
      <c r="B1640" s="8" t="s">
        <v>840</v>
      </c>
      <c r="C1640" s="8" t="s">
        <v>8</v>
      </c>
      <c r="D1640" s="8" t="s">
        <v>14</v>
      </c>
      <c r="E1640" s="9">
        <v>28.66</v>
      </c>
      <c r="F1640" s="8" t="s">
        <v>11</v>
      </c>
      <c r="G1640" s="8">
        <v>57.32</v>
      </c>
      <c r="H1640" s="10">
        <f t="shared" si="50"/>
        <v>9</v>
      </c>
      <c r="I1640" s="10">
        <f>YEAR(Sheet1!$A1640)</f>
        <v>2024</v>
      </c>
      <c r="J1640" s="10">
        <f>DAY(Sheet1!$A1640)</f>
        <v>19</v>
      </c>
      <c r="K1640" s="12" t="s">
        <v>2022</v>
      </c>
      <c r="L1640" s="13" t="str">
        <f t="shared" si="51"/>
        <v>Premium Customer</v>
      </c>
    </row>
    <row r="1641" spans="1:12" ht="15.75" customHeight="1" x14ac:dyDescent="0.3">
      <c r="A1641" s="14">
        <v>45571</v>
      </c>
      <c r="B1641" s="15" t="s">
        <v>197</v>
      </c>
      <c r="C1641" s="15" t="s">
        <v>24</v>
      </c>
      <c r="D1641" s="15" t="s">
        <v>9</v>
      </c>
      <c r="E1641" s="16">
        <v>28.68</v>
      </c>
      <c r="F1641" s="15" t="s">
        <v>10</v>
      </c>
      <c r="G1641" s="15">
        <v>57.36</v>
      </c>
      <c r="H1641" s="17">
        <f t="shared" si="50"/>
        <v>10</v>
      </c>
      <c r="I1641" s="17">
        <f>YEAR(Sheet1!$A1641)</f>
        <v>2024</v>
      </c>
      <c r="J1641" s="17">
        <f>DAY(Sheet1!$A1641)</f>
        <v>6</v>
      </c>
      <c r="K1641" s="18" t="s">
        <v>2023</v>
      </c>
      <c r="L1641" s="19" t="str">
        <f t="shared" si="51"/>
        <v>Premium Customer</v>
      </c>
    </row>
    <row r="1642" spans="1:12" ht="15.75" customHeight="1" x14ac:dyDescent="0.3">
      <c r="A1642" s="7">
        <v>45663</v>
      </c>
      <c r="B1642" s="8" t="s">
        <v>2007</v>
      </c>
      <c r="C1642" s="8" t="s">
        <v>24</v>
      </c>
      <c r="D1642" s="8" t="s">
        <v>16</v>
      </c>
      <c r="E1642" s="9">
        <v>28.7</v>
      </c>
      <c r="F1642" s="8" t="s">
        <v>10</v>
      </c>
      <c r="G1642" s="8">
        <v>57.4</v>
      </c>
      <c r="H1642" s="10">
        <f t="shared" si="50"/>
        <v>1</v>
      </c>
      <c r="I1642" s="10">
        <f>YEAR(Sheet1!$A1642)</f>
        <v>2025</v>
      </c>
      <c r="J1642" s="10">
        <f>DAY(Sheet1!$A1642)</f>
        <v>6</v>
      </c>
      <c r="K1642" s="12" t="s">
        <v>2023</v>
      </c>
      <c r="L1642" s="13" t="str">
        <f t="shared" si="51"/>
        <v>Premium Customer</v>
      </c>
    </row>
    <row r="1643" spans="1:12" ht="15.75" customHeight="1" x14ac:dyDescent="0.3">
      <c r="A1643" s="14">
        <v>45709</v>
      </c>
      <c r="B1643" s="15" t="s">
        <v>1433</v>
      </c>
      <c r="C1643" s="15" t="s">
        <v>18</v>
      </c>
      <c r="D1643" s="15" t="s">
        <v>16</v>
      </c>
      <c r="E1643" s="16">
        <v>28.71</v>
      </c>
      <c r="F1643" s="15" t="s">
        <v>11</v>
      </c>
      <c r="G1643" s="15">
        <v>57.42</v>
      </c>
      <c r="H1643" s="17">
        <f t="shared" si="50"/>
        <v>2</v>
      </c>
      <c r="I1643" s="17">
        <f>YEAR(Sheet1!$A1643)</f>
        <v>2025</v>
      </c>
      <c r="J1643" s="17">
        <f>DAY(Sheet1!$A1643)</f>
        <v>21</v>
      </c>
      <c r="K1643" s="18" t="s">
        <v>2022</v>
      </c>
      <c r="L1643" s="19" t="str">
        <f t="shared" si="51"/>
        <v>Premium Customer</v>
      </c>
    </row>
    <row r="1644" spans="1:12" ht="15.75" customHeight="1" x14ac:dyDescent="0.3">
      <c r="A1644" s="7">
        <v>45735</v>
      </c>
      <c r="B1644" s="8" t="s">
        <v>1271</v>
      </c>
      <c r="C1644" s="8" t="s">
        <v>13</v>
      </c>
      <c r="D1644" s="8" t="s">
        <v>16</v>
      </c>
      <c r="E1644" s="9">
        <v>19.14</v>
      </c>
      <c r="F1644" s="8" t="s">
        <v>10</v>
      </c>
      <c r="G1644" s="8">
        <v>57.42</v>
      </c>
      <c r="H1644" s="10">
        <f t="shared" si="50"/>
        <v>3</v>
      </c>
      <c r="I1644" s="10">
        <f>YEAR(Sheet1!$A1644)</f>
        <v>2025</v>
      </c>
      <c r="J1644" s="10">
        <f>DAY(Sheet1!$A1644)</f>
        <v>19</v>
      </c>
      <c r="K1644" s="12" t="s">
        <v>2023</v>
      </c>
      <c r="L1644" s="13" t="str">
        <f t="shared" si="51"/>
        <v>Premium Customer</v>
      </c>
    </row>
    <row r="1645" spans="1:12" ht="15.75" customHeight="1" x14ac:dyDescent="0.3">
      <c r="A1645" s="14">
        <v>45747</v>
      </c>
      <c r="B1645" s="15" t="s">
        <v>452</v>
      </c>
      <c r="C1645" s="15" t="s">
        <v>13</v>
      </c>
      <c r="D1645" s="15" t="s">
        <v>14</v>
      </c>
      <c r="E1645" s="16">
        <v>19.16</v>
      </c>
      <c r="F1645" s="15" t="s">
        <v>11</v>
      </c>
      <c r="G1645" s="15">
        <v>57.48</v>
      </c>
      <c r="H1645" s="17">
        <f t="shared" si="50"/>
        <v>3</v>
      </c>
      <c r="I1645" s="17">
        <f>YEAR(Sheet1!$A1645)</f>
        <v>2025</v>
      </c>
      <c r="J1645" s="17">
        <f>DAY(Sheet1!$A1645)</f>
        <v>31</v>
      </c>
      <c r="K1645" s="18" t="s">
        <v>2023</v>
      </c>
      <c r="L1645" s="19" t="str">
        <f t="shared" si="51"/>
        <v>Premium Customer</v>
      </c>
    </row>
    <row r="1646" spans="1:12" ht="15.75" customHeight="1" x14ac:dyDescent="0.3">
      <c r="A1646" s="7">
        <v>45540</v>
      </c>
      <c r="B1646" s="8" t="s">
        <v>1308</v>
      </c>
      <c r="C1646" s="8" t="s">
        <v>13</v>
      </c>
      <c r="D1646" s="8" t="s">
        <v>9</v>
      </c>
      <c r="E1646" s="9">
        <v>19.170000000000002</v>
      </c>
      <c r="F1646" s="8" t="s">
        <v>11</v>
      </c>
      <c r="G1646" s="8">
        <v>57.51</v>
      </c>
      <c r="H1646" s="10">
        <f t="shared" si="50"/>
        <v>9</v>
      </c>
      <c r="I1646" s="10">
        <f>YEAR(Sheet1!$A1646)</f>
        <v>2024</v>
      </c>
      <c r="J1646" s="10">
        <f>DAY(Sheet1!$A1646)</f>
        <v>5</v>
      </c>
      <c r="K1646" s="12" t="s">
        <v>2023</v>
      </c>
      <c r="L1646" s="13" t="str">
        <f t="shared" si="51"/>
        <v>Premium Customer</v>
      </c>
    </row>
    <row r="1647" spans="1:12" ht="15.75" customHeight="1" x14ac:dyDescent="0.3">
      <c r="A1647" s="14">
        <v>45630</v>
      </c>
      <c r="B1647" s="15" t="s">
        <v>1205</v>
      </c>
      <c r="C1647" s="15" t="s">
        <v>24</v>
      </c>
      <c r="D1647" s="15" t="s">
        <v>9</v>
      </c>
      <c r="E1647" s="16">
        <v>28.76</v>
      </c>
      <c r="F1647" s="15" t="s">
        <v>11</v>
      </c>
      <c r="G1647" s="15">
        <v>57.52</v>
      </c>
      <c r="H1647" s="17">
        <f t="shared" si="50"/>
        <v>12</v>
      </c>
      <c r="I1647" s="17">
        <f>YEAR(Sheet1!$A1647)</f>
        <v>2024</v>
      </c>
      <c r="J1647" s="17">
        <f>DAY(Sheet1!$A1647)</f>
        <v>4</v>
      </c>
      <c r="K1647" s="18" t="s">
        <v>2022</v>
      </c>
      <c r="L1647" s="19" t="str">
        <f t="shared" si="51"/>
        <v>Premium Customer</v>
      </c>
    </row>
    <row r="1648" spans="1:12" ht="15.75" customHeight="1" x14ac:dyDescent="0.3">
      <c r="A1648" s="7">
        <v>45712</v>
      </c>
      <c r="B1648" s="8" t="s">
        <v>306</v>
      </c>
      <c r="C1648" s="8" t="s">
        <v>8</v>
      </c>
      <c r="D1648" s="8" t="s">
        <v>9</v>
      </c>
      <c r="E1648" s="9">
        <v>28.76</v>
      </c>
      <c r="F1648" s="8" t="s">
        <v>11</v>
      </c>
      <c r="G1648" s="8">
        <v>57.52</v>
      </c>
      <c r="H1648" s="10">
        <f t="shared" si="50"/>
        <v>2</v>
      </c>
      <c r="I1648" s="10">
        <f>YEAR(Sheet1!$A1648)</f>
        <v>2025</v>
      </c>
      <c r="J1648" s="10">
        <f>DAY(Sheet1!$A1648)</f>
        <v>24</v>
      </c>
      <c r="K1648" s="12" t="s">
        <v>2022</v>
      </c>
      <c r="L1648" s="13" t="str">
        <f t="shared" si="51"/>
        <v>Premium Customer</v>
      </c>
    </row>
    <row r="1649" spans="1:12" ht="15.75" customHeight="1" x14ac:dyDescent="0.3">
      <c r="A1649" s="14">
        <v>45615</v>
      </c>
      <c r="B1649" s="15" t="s">
        <v>757</v>
      </c>
      <c r="C1649" s="15" t="s">
        <v>8</v>
      </c>
      <c r="D1649" s="15" t="s">
        <v>19</v>
      </c>
      <c r="E1649" s="16">
        <v>28.77</v>
      </c>
      <c r="F1649" s="15" t="s">
        <v>10</v>
      </c>
      <c r="G1649" s="15">
        <v>57.54</v>
      </c>
      <c r="H1649" s="17">
        <f t="shared" si="50"/>
        <v>11</v>
      </c>
      <c r="I1649" s="17">
        <f>YEAR(Sheet1!$A1649)</f>
        <v>2024</v>
      </c>
      <c r="J1649" s="17">
        <f>DAY(Sheet1!$A1649)</f>
        <v>19</v>
      </c>
      <c r="K1649" s="18" t="s">
        <v>2022</v>
      </c>
      <c r="L1649" s="19" t="str">
        <f t="shared" si="51"/>
        <v>Premium Customer</v>
      </c>
    </row>
    <row r="1650" spans="1:12" ht="15.75" customHeight="1" x14ac:dyDescent="0.3">
      <c r="A1650" s="7">
        <v>45504</v>
      </c>
      <c r="B1650" s="8" t="s">
        <v>300</v>
      </c>
      <c r="C1650" s="8" t="s">
        <v>8</v>
      </c>
      <c r="D1650" s="8" t="s">
        <v>9</v>
      </c>
      <c r="E1650" s="9">
        <v>28.78</v>
      </c>
      <c r="F1650" s="8" t="s">
        <v>10</v>
      </c>
      <c r="G1650" s="8">
        <v>57.56</v>
      </c>
      <c r="H1650" s="10">
        <f t="shared" si="50"/>
        <v>7</v>
      </c>
      <c r="I1650" s="10">
        <f>YEAR(Sheet1!$A1650)</f>
        <v>2024</v>
      </c>
      <c r="J1650" s="10">
        <f>DAY(Sheet1!$A1650)</f>
        <v>31</v>
      </c>
      <c r="K1650" s="12" t="s">
        <v>2023</v>
      </c>
      <c r="L1650" s="13" t="str">
        <f t="shared" si="51"/>
        <v>Premium Customer</v>
      </c>
    </row>
    <row r="1651" spans="1:12" ht="15.75" customHeight="1" x14ac:dyDescent="0.3">
      <c r="A1651" s="14">
        <v>45699</v>
      </c>
      <c r="B1651" s="15" t="s">
        <v>813</v>
      </c>
      <c r="C1651" s="15" t="s">
        <v>8</v>
      </c>
      <c r="D1651" s="15" t="s">
        <v>9</v>
      </c>
      <c r="E1651" s="16">
        <v>28.78</v>
      </c>
      <c r="F1651" s="15" t="s">
        <v>11</v>
      </c>
      <c r="G1651" s="15">
        <v>57.56</v>
      </c>
      <c r="H1651" s="17">
        <f t="shared" si="50"/>
        <v>2</v>
      </c>
      <c r="I1651" s="17">
        <f>YEAR(Sheet1!$A1651)</f>
        <v>2025</v>
      </c>
      <c r="J1651" s="17">
        <f>DAY(Sheet1!$A1651)</f>
        <v>11</v>
      </c>
      <c r="K1651" s="18" t="s">
        <v>2023</v>
      </c>
      <c r="L1651" s="19" t="str">
        <f t="shared" si="51"/>
        <v>Premium Customer</v>
      </c>
    </row>
    <row r="1652" spans="1:12" ht="15.75" customHeight="1" x14ac:dyDescent="0.3">
      <c r="A1652" s="7">
        <v>45651</v>
      </c>
      <c r="B1652" s="8" t="s">
        <v>804</v>
      </c>
      <c r="C1652" s="8" t="s">
        <v>13</v>
      </c>
      <c r="D1652" s="8" t="s">
        <v>16</v>
      </c>
      <c r="E1652" s="9">
        <v>28.83</v>
      </c>
      <c r="F1652" s="8" t="s">
        <v>11</v>
      </c>
      <c r="G1652" s="8">
        <v>57.66</v>
      </c>
      <c r="H1652" s="10">
        <f t="shared" si="50"/>
        <v>12</v>
      </c>
      <c r="I1652" s="10">
        <f>YEAR(Sheet1!$A1652)</f>
        <v>2024</v>
      </c>
      <c r="J1652" s="10">
        <f>DAY(Sheet1!$A1652)</f>
        <v>25</v>
      </c>
      <c r="K1652" s="12" t="s">
        <v>2023</v>
      </c>
      <c r="L1652" s="13" t="str">
        <f t="shared" si="51"/>
        <v>Premium Customer</v>
      </c>
    </row>
    <row r="1653" spans="1:12" ht="15.75" customHeight="1" x14ac:dyDescent="0.3">
      <c r="A1653" s="14">
        <v>45771</v>
      </c>
      <c r="B1653" s="15" t="s">
        <v>1593</v>
      </c>
      <c r="C1653" s="15" t="s">
        <v>8</v>
      </c>
      <c r="D1653" s="15" t="s">
        <v>14</v>
      </c>
      <c r="E1653" s="16">
        <v>28.83</v>
      </c>
      <c r="F1653" s="15" t="s">
        <v>11</v>
      </c>
      <c r="G1653" s="15">
        <v>57.66</v>
      </c>
      <c r="H1653" s="17">
        <f t="shared" si="50"/>
        <v>4</v>
      </c>
      <c r="I1653" s="17">
        <f>YEAR(Sheet1!$A1653)</f>
        <v>2025</v>
      </c>
      <c r="J1653" s="17">
        <f>DAY(Sheet1!$A1653)</f>
        <v>24</v>
      </c>
      <c r="K1653" s="18" t="s">
        <v>2022</v>
      </c>
      <c r="L1653" s="19" t="str">
        <f t="shared" si="51"/>
        <v>Premium Customer</v>
      </c>
    </row>
    <row r="1654" spans="1:12" ht="15.75" customHeight="1" x14ac:dyDescent="0.3">
      <c r="A1654" s="7">
        <v>45482</v>
      </c>
      <c r="B1654" s="8" t="s">
        <v>1966</v>
      </c>
      <c r="C1654" s="8" t="s">
        <v>13</v>
      </c>
      <c r="D1654" s="8" t="s">
        <v>14</v>
      </c>
      <c r="E1654" s="9">
        <v>28.84</v>
      </c>
      <c r="F1654" s="8" t="s">
        <v>11</v>
      </c>
      <c r="G1654" s="8">
        <v>57.68</v>
      </c>
      <c r="H1654" s="10">
        <f t="shared" si="50"/>
        <v>7</v>
      </c>
      <c r="I1654" s="10">
        <f>YEAR(Sheet1!$A1654)</f>
        <v>2024</v>
      </c>
      <c r="J1654" s="10">
        <f>DAY(Sheet1!$A1654)</f>
        <v>9</v>
      </c>
      <c r="K1654" s="12" t="s">
        <v>2022</v>
      </c>
      <c r="L1654" s="13" t="str">
        <f t="shared" si="51"/>
        <v>Premium Customer</v>
      </c>
    </row>
    <row r="1655" spans="1:12" ht="15.75" customHeight="1" x14ac:dyDescent="0.3">
      <c r="A1655" s="14">
        <v>45762</v>
      </c>
      <c r="B1655" s="15" t="s">
        <v>1007</v>
      </c>
      <c r="C1655" s="15" t="s">
        <v>13</v>
      </c>
      <c r="D1655" s="15" t="s">
        <v>16</v>
      </c>
      <c r="E1655" s="16">
        <v>28.84</v>
      </c>
      <c r="F1655" s="15" t="s">
        <v>11</v>
      </c>
      <c r="G1655" s="15">
        <v>57.68</v>
      </c>
      <c r="H1655" s="17">
        <f t="shared" si="50"/>
        <v>4</v>
      </c>
      <c r="I1655" s="17">
        <f>YEAR(Sheet1!$A1655)</f>
        <v>2025</v>
      </c>
      <c r="J1655" s="17">
        <f>DAY(Sheet1!$A1655)</f>
        <v>15</v>
      </c>
      <c r="K1655" s="18" t="s">
        <v>2023</v>
      </c>
      <c r="L1655" s="19" t="str">
        <f t="shared" si="51"/>
        <v>Premium Customer</v>
      </c>
    </row>
    <row r="1656" spans="1:12" ht="15.75" customHeight="1" x14ac:dyDescent="0.3">
      <c r="A1656" s="7">
        <v>45521</v>
      </c>
      <c r="B1656" s="8" t="s">
        <v>367</v>
      </c>
      <c r="C1656" s="8" t="s">
        <v>18</v>
      </c>
      <c r="D1656" s="8" t="s">
        <v>14</v>
      </c>
      <c r="E1656" s="9">
        <v>28.86</v>
      </c>
      <c r="F1656" s="8" t="s">
        <v>10</v>
      </c>
      <c r="G1656" s="8">
        <v>57.72</v>
      </c>
      <c r="H1656" s="10">
        <f t="shared" si="50"/>
        <v>8</v>
      </c>
      <c r="I1656" s="10">
        <f>YEAR(Sheet1!$A1656)</f>
        <v>2024</v>
      </c>
      <c r="J1656" s="10">
        <f>DAY(Sheet1!$A1656)</f>
        <v>17</v>
      </c>
      <c r="K1656" s="12" t="s">
        <v>2023</v>
      </c>
      <c r="L1656" s="13" t="str">
        <f t="shared" si="51"/>
        <v>Premium Customer</v>
      </c>
    </row>
    <row r="1657" spans="1:12" ht="15.75" customHeight="1" x14ac:dyDescent="0.3">
      <c r="A1657" s="14">
        <v>45458</v>
      </c>
      <c r="B1657" s="15" t="s">
        <v>342</v>
      </c>
      <c r="C1657" s="15" t="s">
        <v>13</v>
      </c>
      <c r="D1657" s="15" t="s">
        <v>14</v>
      </c>
      <c r="E1657" s="16">
        <v>19.27</v>
      </c>
      <c r="F1657" s="15" t="s">
        <v>10</v>
      </c>
      <c r="G1657" s="15">
        <v>57.81</v>
      </c>
      <c r="H1657" s="17">
        <f t="shared" si="50"/>
        <v>6</v>
      </c>
      <c r="I1657" s="17">
        <f>YEAR(Sheet1!$A1657)</f>
        <v>2024</v>
      </c>
      <c r="J1657" s="17">
        <f>DAY(Sheet1!$A1657)</f>
        <v>15</v>
      </c>
      <c r="K1657" s="18" t="s">
        <v>2023</v>
      </c>
      <c r="L1657" s="19" t="str">
        <f t="shared" si="51"/>
        <v>Premium Customer</v>
      </c>
    </row>
    <row r="1658" spans="1:12" ht="15.75" customHeight="1" x14ac:dyDescent="0.3">
      <c r="A1658" s="7">
        <v>45501</v>
      </c>
      <c r="B1658" s="8" t="s">
        <v>419</v>
      </c>
      <c r="C1658" s="8" t="s">
        <v>8</v>
      </c>
      <c r="D1658" s="8" t="s">
        <v>16</v>
      </c>
      <c r="E1658" s="9">
        <v>19.32</v>
      </c>
      <c r="F1658" s="8" t="s">
        <v>11</v>
      </c>
      <c r="G1658" s="8">
        <v>57.96</v>
      </c>
      <c r="H1658" s="10">
        <f t="shared" si="50"/>
        <v>7</v>
      </c>
      <c r="I1658" s="10">
        <f>YEAR(Sheet1!$A1658)</f>
        <v>2024</v>
      </c>
      <c r="J1658" s="10">
        <f>DAY(Sheet1!$A1658)</f>
        <v>28</v>
      </c>
      <c r="K1658" s="12" t="s">
        <v>2023</v>
      </c>
      <c r="L1658" s="13" t="str">
        <f t="shared" si="51"/>
        <v>Premium Customer</v>
      </c>
    </row>
    <row r="1659" spans="1:12" ht="15.75" customHeight="1" x14ac:dyDescent="0.3">
      <c r="A1659" s="14">
        <v>45517</v>
      </c>
      <c r="B1659" s="15" t="s">
        <v>1979</v>
      </c>
      <c r="C1659" s="15" t="s">
        <v>13</v>
      </c>
      <c r="D1659" s="15" t="s">
        <v>19</v>
      </c>
      <c r="E1659" s="16">
        <v>19.32</v>
      </c>
      <c r="F1659" s="15" t="s">
        <v>10</v>
      </c>
      <c r="G1659" s="15">
        <v>57.96</v>
      </c>
      <c r="H1659" s="17">
        <f t="shared" si="50"/>
        <v>8</v>
      </c>
      <c r="I1659" s="17">
        <f>YEAR(Sheet1!$A1659)</f>
        <v>2024</v>
      </c>
      <c r="J1659" s="17">
        <f>DAY(Sheet1!$A1659)</f>
        <v>13</v>
      </c>
      <c r="K1659" s="18" t="s">
        <v>2022</v>
      </c>
      <c r="L1659" s="19" t="str">
        <f t="shared" si="51"/>
        <v>Premium Customer</v>
      </c>
    </row>
    <row r="1660" spans="1:12" ht="15.75" customHeight="1" x14ac:dyDescent="0.3">
      <c r="A1660" s="7">
        <v>45496</v>
      </c>
      <c r="B1660" s="8" t="s">
        <v>1590</v>
      </c>
      <c r="C1660" s="8" t="s">
        <v>8</v>
      </c>
      <c r="D1660" s="8" t="s">
        <v>19</v>
      </c>
      <c r="E1660" s="9">
        <v>19.34</v>
      </c>
      <c r="F1660" s="8" t="s">
        <v>11</v>
      </c>
      <c r="G1660" s="8">
        <v>58.02</v>
      </c>
      <c r="H1660" s="10">
        <f t="shared" si="50"/>
        <v>7</v>
      </c>
      <c r="I1660" s="10">
        <f>YEAR(Sheet1!$A1660)</f>
        <v>2024</v>
      </c>
      <c r="J1660" s="10">
        <f>DAY(Sheet1!$A1660)</f>
        <v>23</v>
      </c>
      <c r="K1660" s="12" t="s">
        <v>2023</v>
      </c>
      <c r="L1660" s="13" t="str">
        <f t="shared" si="51"/>
        <v>Premium Customer</v>
      </c>
    </row>
    <row r="1661" spans="1:12" ht="15.75" customHeight="1" x14ac:dyDescent="0.3">
      <c r="A1661" s="14">
        <v>45624</v>
      </c>
      <c r="B1661" s="15" t="s">
        <v>451</v>
      </c>
      <c r="C1661" s="15" t="s">
        <v>24</v>
      </c>
      <c r="D1661" s="15" t="s">
        <v>14</v>
      </c>
      <c r="E1661" s="16">
        <v>29.03</v>
      </c>
      <c r="F1661" s="15" t="s">
        <v>11</v>
      </c>
      <c r="G1661" s="15">
        <v>58.06</v>
      </c>
      <c r="H1661" s="17">
        <f t="shared" si="50"/>
        <v>11</v>
      </c>
      <c r="I1661" s="17">
        <f>YEAR(Sheet1!$A1661)</f>
        <v>2024</v>
      </c>
      <c r="J1661" s="17">
        <f>DAY(Sheet1!$A1661)</f>
        <v>28</v>
      </c>
      <c r="K1661" s="18" t="s">
        <v>2022</v>
      </c>
      <c r="L1661" s="19" t="str">
        <f t="shared" si="51"/>
        <v>Premium Customer</v>
      </c>
    </row>
    <row r="1662" spans="1:12" ht="15.75" customHeight="1" x14ac:dyDescent="0.3">
      <c r="A1662" s="7">
        <v>45435</v>
      </c>
      <c r="B1662" s="8" t="s">
        <v>283</v>
      </c>
      <c r="C1662" s="8" t="s">
        <v>13</v>
      </c>
      <c r="D1662" s="8" t="s">
        <v>19</v>
      </c>
      <c r="E1662" s="9">
        <v>19.36</v>
      </c>
      <c r="F1662" s="8" t="s">
        <v>11</v>
      </c>
      <c r="G1662" s="8">
        <v>58.08</v>
      </c>
      <c r="H1662" s="10">
        <f t="shared" si="50"/>
        <v>5</v>
      </c>
      <c r="I1662" s="10">
        <f>YEAR(Sheet1!$A1662)</f>
        <v>2024</v>
      </c>
      <c r="J1662" s="10">
        <f>DAY(Sheet1!$A1662)</f>
        <v>23</v>
      </c>
      <c r="K1662" s="12" t="s">
        <v>2023</v>
      </c>
      <c r="L1662" s="13" t="str">
        <f t="shared" si="51"/>
        <v>Premium Customer</v>
      </c>
    </row>
    <row r="1663" spans="1:12" ht="15.75" customHeight="1" x14ac:dyDescent="0.3">
      <c r="A1663" s="14">
        <v>45559</v>
      </c>
      <c r="B1663" s="15" t="s">
        <v>1639</v>
      </c>
      <c r="C1663" s="15" t="s">
        <v>8</v>
      </c>
      <c r="D1663" s="15" t="s">
        <v>16</v>
      </c>
      <c r="E1663" s="16">
        <v>29.06</v>
      </c>
      <c r="F1663" s="15" t="s">
        <v>11</v>
      </c>
      <c r="G1663" s="15">
        <v>58.12</v>
      </c>
      <c r="H1663" s="17">
        <f t="shared" si="50"/>
        <v>9</v>
      </c>
      <c r="I1663" s="17">
        <f>YEAR(Sheet1!$A1663)</f>
        <v>2024</v>
      </c>
      <c r="J1663" s="17">
        <f>DAY(Sheet1!$A1663)</f>
        <v>24</v>
      </c>
      <c r="K1663" s="18" t="s">
        <v>2023</v>
      </c>
      <c r="L1663" s="19" t="str">
        <f t="shared" si="51"/>
        <v>Premium Customer</v>
      </c>
    </row>
    <row r="1664" spans="1:12" ht="15.75" customHeight="1" x14ac:dyDescent="0.3">
      <c r="A1664" s="7">
        <v>45530</v>
      </c>
      <c r="B1664" s="8" t="s">
        <v>575</v>
      </c>
      <c r="C1664" s="8" t="s">
        <v>13</v>
      </c>
      <c r="D1664" s="8" t="s">
        <v>9</v>
      </c>
      <c r="E1664" s="9">
        <v>19.399999999999999</v>
      </c>
      <c r="F1664" s="8" t="s">
        <v>10</v>
      </c>
      <c r="G1664" s="8">
        <v>58.2</v>
      </c>
      <c r="H1664" s="10">
        <f t="shared" si="50"/>
        <v>8</v>
      </c>
      <c r="I1664" s="10">
        <f>YEAR(Sheet1!$A1664)</f>
        <v>2024</v>
      </c>
      <c r="J1664" s="10">
        <f>DAY(Sheet1!$A1664)</f>
        <v>26</v>
      </c>
      <c r="K1664" s="12" t="s">
        <v>2022</v>
      </c>
      <c r="L1664" s="13" t="str">
        <f t="shared" si="51"/>
        <v>Premium Customer</v>
      </c>
    </row>
    <row r="1665" spans="1:12" ht="15.75" customHeight="1" x14ac:dyDescent="0.3">
      <c r="A1665" s="14">
        <v>45487</v>
      </c>
      <c r="B1665" s="15" t="s">
        <v>128</v>
      </c>
      <c r="C1665" s="15" t="s">
        <v>24</v>
      </c>
      <c r="D1665" s="15" t="s">
        <v>14</v>
      </c>
      <c r="E1665" s="16">
        <v>19.420000000000002</v>
      </c>
      <c r="F1665" s="15" t="s">
        <v>10</v>
      </c>
      <c r="G1665" s="15">
        <v>58.26</v>
      </c>
      <c r="H1665" s="17">
        <f t="shared" si="50"/>
        <v>7</v>
      </c>
      <c r="I1665" s="17">
        <f>YEAR(Sheet1!$A1665)</f>
        <v>2024</v>
      </c>
      <c r="J1665" s="17">
        <f>DAY(Sheet1!$A1665)</f>
        <v>14</v>
      </c>
      <c r="K1665" s="18" t="s">
        <v>2023</v>
      </c>
      <c r="L1665" s="19" t="str">
        <f t="shared" si="51"/>
        <v>Premium Customer</v>
      </c>
    </row>
    <row r="1666" spans="1:12" ht="15.75" customHeight="1" x14ac:dyDescent="0.3">
      <c r="A1666" s="7">
        <v>45635</v>
      </c>
      <c r="B1666" s="8" t="s">
        <v>159</v>
      </c>
      <c r="C1666" s="8" t="s">
        <v>13</v>
      </c>
      <c r="D1666" s="8" t="s">
        <v>14</v>
      </c>
      <c r="E1666" s="9">
        <v>29.13</v>
      </c>
      <c r="F1666" s="8" t="s">
        <v>11</v>
      </c>
      <c r="G1666" s="8">
        <v>58.26</v>
      </c>
      <c r="H1666" s="10">
        <f t="shared" ref="H1666:H1729" si="52">MONTH(A1666)</f>
        <v>12</v>
      </c>
      <c r="I1666" s="10">
        <f>YEAR(Sheet1!$A1666)</f>
        <v>2024</v>
      </c>
      <c r="J1666" s="10">
        <f>DAY(Sheet1!$A1666)</f>
        <v>9</v>
      </c>
      <c r="K1666" s="12" t="s">
        <v>2023</v>
      </c>
      <c r="L1666" s="13" t="str">
        <f t="shared" ref="L1666:L1729" si="53">IF(G1666&gt;50,"Premium Customer","Regular Customer")</f>
        <v>Premium Customer</v>
      </c>
    </row>
    <row r="1667" spans="1:12" ht="15.75" customHeight="1" x14ac:dyDescent="0.3">
      <c r="A1667" s="14">
        <v>45534</v>
      </c>
      <c r="B1667" s="15" t="s">
        <v>1773</v>
      </c>
      <c r="C1667" s="15" t="s">
        <v>24</v>
      </c>
      <c r="D1667" s="15" t="s">
        <v>14</v>
      </c>
      <c r="E1667" s="16">
        <v>29.16</v>
      </c>
      <c r="F1667" s="15" t="s">
        <v>11</v>
      </c>
      <c r="G1667" s="15">
        <v>58.32</v>
      </c>
      <c r="H1667" s="17">
        <f t="shared" si="52"/>
        <v>8</v>
      </c>
      <c r="I1667" s="17">
        <f>YEAR(Sheet1!$A1667)</f>
        <v>2024</v>
      </c>
      <c r="J1667" s="17">
        <f>DAY(Sheet1!$A1667)</f>
        <v>30</v>
      </c>
      <c r="K1667" s="18" t="s">
        <v>2022</v>
      </c>
      <c r="L1667" s="19" t="str">
        <f t="shared" si="53"/>
        <v>Premium Customer</v>
      </c>
    </row>
    <row r="1668" spans="1:12" ht="15.75" customHeight="1" x14ac:dyDescent="0.3">
      <c r="A1668" s="7">
        <v>45670</v>
      </c>
      <c r="B1668" s="8" t="s">
        <v>636</v>
      </c>
      <c r="C1668" s="8" t="s">
        <v>24</v>
      </c>
      <c r="D1668" s="8" t="s">
        <v>14</v>
      </c>
      <c r="E1668" s="9">
        <v>19.45</v>
      </c>
      <c r="F1668" s="8" t="s">
        <v>10</v>
      </c>
      <c r="G1668" s="8">
        <v>58.35</v>
      </c>
      <c r="H1668" s="10">
        <f t="shared" si="52"/>
        <v>1</v>
      </c>
      <c r="I1668" s="10">
        <f>YEAR(Sheet1!$A1668)</f>
        <v>2025</v>
      </c>
      <c r="J1668" s="10">
        <f>DAY(Sheet1!$A1668)</f>
        <v>13</v>
      </c>
      <c r="K1668" s="12" t="s">
        <v>2023</v>
      </c>
      <c r="L1668" s="13" t="str">
        <f t="shared" si="53"/>
        <v>Premium Customer</v>
      </c>
    </row>
    <row r="1669" spans="1:12" ht="15.75" customHeight="1" x14ac:dyDescent="0.3">
      <c r="A1669" s="14">
        <v>45756</v>
      </c>
      <c r="B1669" s="15" t="s">
        <v>156</v>
      </c>
      <c r="C1669" s="15" t="s">
        <v>18</v>
      </c>
      <c r="D1669" s="15" t="s">
        <v>9</v>
      </c>
      <c r="E1669" s="16">
        <v>29.18</v>
      </c>
      <c r="F1669" s="15" t="s">
        <v>10</v>
      </c>
      <c r="G1669" s="15">
        <v>58.36</v>
      </c>
      <c r="H1669" s="17">
        <f t="shared" si="52"/>
        <v>4</v>
      </c>
      <c r="I1669" s="17">
        <f>YEAR(Sheet1!$A1669)</f>
        <v>2025</v>
      </c>
      <c r="J1669" s="17">
        <f>DAY(Sheet1!$A1669)</f>
        <v>9</v>
      </c>
      <c r="K1669" s="18" t="s">
        <v>2022</v>
      </c>
      <c r="L1669" s="19" t="str">
        <f t="shared" si="53"/>
        <v>Premium Customer</v>
      </c>
    </row>
    <row r="1670" spans="1:12" ht="15.75" customHeight="1" x14ac:dyDescent="0.3">
      <c r="A1670" s="7">
        <v>45578</v>
      </c>
      <c r="B1670" s="8" t="s">
        <v>203</v>
      </c>
      <c r="C1670" s="8" t="s">
        <v>13</v>
      </c>
      <c r="D1670" s="8" t="s">
        <v>16</v>
      </c>
      <c r="E1670" s="9">
        <v>19.47</v>
      </c>
      <c r="F1670" s="8" t="s">
        <v>10</v>
      </c>
      <c r="G1670" s="8">
        <v>58.41</v>
      </c>
      <c r="H1670" s="10">
        <f t="shared" si="52"/>
        <v>10</v>
      </c>
      <c r="I1670" s="10">
        <f>YEAR(Sheet1!$A1670)</f>
        <v>2024</v>
      </c>
      <c r="J1670" s="10">
        <f>DAY(Sheet1!$A1670)</f>
        <v>13</v>
      </c>
      <c r="K1670" s="12" t="s">
        <v>2022</v>
      </c>
      <c r="L1670" s="13" t="str">
        <f t="shared" si="53"/>
        <v>Premium Customer</v>
      </c>
    </row>
    <row r="1671" spans="1:12" ht="15.75" customHeight="1" x14ac:dyDescent="0.3">
      <c r="A1671" s="14">
        <v>45775</v>
      </c>
      <c r="B1671" s="15" t="s">
        <v>1890</v>
      </c>
      <c r="C1671" s="15" t="s">
        <v>8</v>
      </c>
      <c r="D1671" s="15" t="s">
        <v>19</v>
      </c>
      <c r="E1671" s="16">
        <v>29.22</v>
      </c>
      <c r="F1671" s="15" t="s">
        <v>10</v>
      </c>
      <c r="G1671" s="15">
        <v>58.44</v>
      </c>
      <c r="H1671" s="17">
        <f t="shared" si="52"/>
        <v>4</v>
      </c>
      <c r="I1671" s="17">
        <f>YEAR(Sheet1!$A1671)</f>
        <v>2025</v>
      </c>
      <c r="J1671" s="17">
        <f>DAY(Sheet1!$A1671)</f>
        <v>28</v>
      </c>
      <c r="K1671" s="18" t="s">
        <v>2022</v>
      </c>
      <c r="L1671" s="19" t="str">
        <f t="shared" si="53"/>
        <v>Premium Customer</v>
      </c>
    </row>
    <row r="1672" spans="1:12" ht="15.75" customHeight="1" x14ac:dyDescent="0.3">
      <c r="A1672" s="7">
        <v>45420</v>
      </c>
      <c r="B1672" s="8" t="s">
        <v>1913</v>
      </c>
      <c r="C1672" s="8" t="s">
        <v>18</v>
      </c>
      <c r="D1672" s="8" t="s">
        <v>9</v>
      </c>
      <c r="E1672" s="9">
        <v>29.23</v>
      </c>
      <c r="F1672" s="8" t="s">
        <v>10</v>
      </c>
      <c r="G1672" s="8">
        <v>58.46</v>
      </c>
      <c r="H1672" s="10">
        <f t="shared" si="52"/>
        <v>5</v>
      </c>
      <c r="I1672" s="10">
        <f>YEAR(Sheet1!$A1672)</f>
        <v>2024</v>
      </c>
      <c r="J1672" s="10">
        <f>DAY(Sheet1!$A1672)</f>
        <v>8</v>
      </c>
      <c r="K1672" s="12" t="s">
        <v>2023</v>
      </c>
      <c r="L1672" s="13" t="str">
        <f t="shared" si="53"/>
        <v>Premium Customer</v>
      </c>
    </row>
    <row r="1673" spans="1:12" ht="15.75" customHeight="1" x14ac:dyDescent="0.3">
      <c r="A1673" s="14">
        <v>45644</v>
      </c>
      <c r="B1673" s="15" t="s">
        <v>1171</v>
      </c>
      <c r="C1673" s="15" t="s">
        <v>8</v>
      </c>
      <c r="D1673" s="15" t="s">
        <v>16</v>
      </c>
      <c r="E1673" s="16">
        <v>29.25</v>
      </c>
      <c r="F1673" s="15" t="s">
        <v>10</v>
      </c>
      <c r="G1673" s="15">
        <v>58.5</v>
      </c>
      <c r="H1673" s="17">
        <f t="shared" si="52"/>
        <v>12</v>
      </c>
      <c r="I1673" s="17">
        <f>YEAR(Sheet1!$A1673)</f>
        <v>2024</v>
      </c>
      <c r="J1673" s="17">
        <f>DAY(Sheet1!$A1673)</f>
        <v>18</v>
      </c>
      <c r="K1673" s="18" t="s">
        <v>2022</v>
      </c>
      <c r="L1673" s="19" t="str">
        <f t="shared" si="53"/>
        <v>Premium Customer</v>
      </c>
    </row>
    <row r="1674" spans="1:12" ht="15.75" customHeight="1" x14ac:dyDescent="0.3">
      <c r="A1674" s="7">
        <v>45584</v>
      </c>
      <c r="B1674" s="8" t="s">
        <v>36</v>
      </c>
      <c r="C1674" s="8" t="s">
        <v>18</v>
      </c>
      <c r="D1674" s="8" t="s">
        <v>9</v>
      </c>
      <c r="E1674" s="9">
        <v>29.3</v>
      </c>
      <c r="F1674" s="8" t="s">
        <v>11</v>
      </c>
      <c r="G1674" s="8">
        <v>58.6</v>
      </c>
      <c r="H1674" s="10">
        <f t="shared" si="52"/>
        <v>10</v>
      </c>
      <c r="I1674" s="10">
        <f>YEAR(Sheet1!$A1674)</f>
        <v>2024</v>
      </c>
      <c r="J1674" s="10">
        <f>DAY(Sheet1!$A1674)</f>
        <v>19</v>
      </c>
      <c r="K1674" s="12" t="s">
        <v>2022</v>
      </c>
      <c r="L1674" s="13" t="str">
        <f t="shared" si="53"/>
        <v>Premium Customer</v>
      </c>
    </row>
    <row r="1675" spans="1:12" ht="15.75" customHeight="1" x14ac:dyDescent="0.3">
      <c r="A1675" s="14">
        <v>45475</v>
      </c>
      <c r="B1675" s="15" t="s">
        <v>332</v>
      </c>
      <c r="C1675" s="15" t="s">
        <v>24</v>
      </c>
      <c r="D1675" s="15" t="s">
        <v>19</v>
      </c>
      <c r="E1675" s="16">
        <v>29.34</v>
      </c>
      <c r="F1675" s="15" t="s">
        <v>10</v>
      </c>
      <c r="G1675" s="15">
        <v>58.68</v>
      </c>
      <c r="H1675" s="17">
        <f t="shared" si="52"/>
        <v>7</v>
      </c>
      <c r="I1675" s="17">
        <f>YEAR(Sheet1!$A1675)</f>
        <v>2024</v>
      </c>
      <c r="J1675" s="17">
        <f>DAY(Sheet1!$A1675)</f>
        <v>2</v>
      </c>
      <c r="K1675" s="18" t="s">
        <v>2022</v>
      </c>
      <c r="L1675" s="19" t="str">
        <f t="shared" si="53"/>
        <v>Premium Customer</v>
      </c>
    </row>
    <row r="1676" spans="1:12" ht="15.75" customHeight="1" x14ac:dyDescent="0.3">
      <c r="A1676" s="7">
        <v>45631</v>
      </c>
      <c r="B1676" s="8" t="s">
        <v>485</v>
      </c>
      <c r="C1676" s="8" t="s">
        <v>24</v>
      </c>
      <c r="D1676" s="8" t="s">
        <v>16</v>
      </c>
      <c r="E1676" s="9">
        <v>29.36</v>
      </c>
      <c r="F1676" s="8" t="s">
        <v>11</v>
      </c>
      <c r="G1676" s="8">
        <v>58.72</v>
      </c>
      <c r="H1676" s="10">
        <f t="shared" si="52"/>
        <v>12</v>
      </c>
      <c r="I1676" s="10">
        <f>YEAR(Sheet1!$A1676)</f>
        <v>2024</v>
      </c>
      <c r="J1676" s="10">
        <f>DAY(Sheet1!$A1676)</f>
        <v>5</v>
      </c>
      <c r="K1676" s="12" t="s">
        <v>2022</v>
      </c>
      <c r="L1676" s="13" t="str">
        <f t="shared" si="53"/>
        <v>Premium Customer</v>
      </c>
    </row>
    <row r="1677" spans="1:12" ht="15.75" customHeight="1" x14ac:dyDescent="0.3">
      <c r="A1677" s="14">
        <v>45754</v>
      </c>
      <c r="B1677" s="15" t="s">
        <v>1762</v>
      </c>
      <c r="C1677" s="15" t="s">
        <v>8</v>
      </c>
      <c r="D1677" s="15" t="s">
        <v>14</v>
      </c>
      <c r="E1677" s="16">
        <v>19.61</v>
      </c>
      <c r="F1677" s="15" t="s">
        <v>10</v>
      </c>
      <c r="G1677" s="15">
        <v>58.83</v>
      </c>
      <c r="H1677" s="17">
        <f t="shared" si="52"/>
        <v>4</v>
      </c>
      <c r="I1677" s="17">
        <f>YEAR(Sheet1!$A1677)</f>
        <v>2025</v>
      </c>
      <c r="J1677" s="17">
        <f>DAY(Sheet1!$A1677)</f>
        <v>7</v>
      </c>
      <c r="K1677" s="18" t="s">
        <v>2023</v>
      </c>
      <c r="L1677" s="19" t="str">
        <f t="shared" si="53"/>
        <v>Premium Customer</v>
      </c>
    </row>
    <row r="1678" spans="1:12" ht="15.75" customHeight="1" x14ac:dyDescent="0.3">
      <c r="A1678" s="7">
        <v>45443</v>
      </c>
      <c r="B1678" s="8" t="s">
        <v>684</v>
      </c>
      <c r="C1678" s="8" t="s">
        <v>18</v>
      </c>
      <c r="D1678" s="8" t="s">
        <v>9</v>
      </c>
      <c r="E1678" s="9">
        <v>19.64</v>
      </c>
      <c r="F1678" s="8" t="s">
        <v>10</v>
      </c>
      <c r="G1678" s="8">
        <v>58.92</v>
      </c>
      <c r="H1678" s="10">
        <f t="shared" si="52"/>
        <v>5</v>
      </c>
      <c r="I1678" s="10">
        <f>YEAR(Sheet1!$A1678)</f>
        <v>2024</v>
      </c>
      <c r="J1678" s="10">
        <f>DAY(Sheet1!$A1678)</f>
        <v>31</v>
      </c>
      <c r="K1678" s="12" t="s">
        <v>2023</v>
      </c>
      <c r="L1678" s="13" t="str">
        <f t="shared" si="53"/>
        <v>Premium Customer</v>
      </c>
    </row>
    <row r="1679" spans="1:12" ht="15.75" customHeight="1" x14ac:dyDescent="0.3">
      <c r="A1679" s="14">
        <v>45519</v>
      </c>
      <c r="B1679" s="15" t="s">
        <v>89</v>
      </c>
      <c r="C1679" s="15" t="s">
        <v>24</v>
      </c>
      <c r="D1679" s="15" t="s">
        <v>16</v>
      </c>
      <c r="E1679" s="16">
        <v>19.649999999999999</v>
      </c>
      <c r="F1679" s="15" t="s">
        <v>11</v>
      </c>
      <c r="G1679" s="15">
        <v>58.95</v>
      </c>
      <c r="H1679" s="17">
        <f t="shared" si="52"/>
        <v>8</v>
      </c>
      <c r="I1679" s="17">
        <f>YEAR(Sheet1!$A1679)</f>
        <v>2024</v>
      </c>
      <c r="J1679" s="17">
        <f>DAY(Sheet1!$A1679)</f>
        <v>15</v>
      </c>
      <c r="K1679" s="18" t="s">
        <v>2022</v>
      </c>
      <c r="L1679" s="19" t="str">
        <f t="shared" si="53"/>
        <v>Premium Customer</v>
      </c>
    </row>
    <row r="1680" spans="1:12" ht="15.75" customHeight="1" x14ac:dyDescent="0.3">
      <c r="A1680" s="7">
        <v>45553</v>
      </c>
      <c r="B1680" s="8" t="s">
        <v>963</v>
      </c>
      <c r="C1680" s="8" t="s">
        <v>13</v>
      </c>
      <c r="D1680" s="8" t="s">
        <v>9</v>
      </c>
      <c r="E1680" s="9">
        <v>19.66</v>
      </c>
      <c r="F1680" s="8" t="s">
        <v>11</v>
      </c>
      <c r="G1680" s="8">
        <v>58.98</v>
      </c>
      <c r="H1680" s="10">
        <f t="shared" si="52"/>
        <v>9</v>
      </c>
      <c r="I1680" s="10">
        <f>YEAR(Sheet1!$A1680)</f>
        <v>2024</v>
      </c>
      <c r="J1680" s="10">
        <f>DAY(Sheet1!$A1680)</f>
        <v>18</v>
      </c>
      <c r="K1680" s="12" t="s">
        <v>2023</v>
      </c>
      <c r="L1680" s="13" t="str">
        <f t="shared" si="53"/>
        <v>Premium Customer</v>
      </c>
    </row>
    <row r="1681" spans="1:12" ht="15.75" customHeight="1" x14ac:dyDescent="0.3">
      <c r="A1681" s="14">
        <v>45424</v>
      </c>
      <c r="B1681" s="15" t="s">
        <v>773</v>
      </c>
      <c r="C1681" s="15" t="s">
        <v>18</v>
      </c>
      <c r="D1681" s="15" t="s">
        <v>9</v>
      </c>
      <c r="E1681" s="16">
        <v>19.68</v>
      </c>
      <c r="F1681" s="15" t="s">
        <v>10</v>
      </c>
      <c r="G1681" s="15">
        <v>59.04</v>
      </c>
      <c r="H1681" s="17">
        <f t="shared" si="52"/>
        <v>5</v>
      </c>
      <c r="I1681" s="17">
        <f>YEAR(Sheet1!$A1681)</f>
        <v>2024</v>
      </c>
      <c r="J1681" s="17">
        <f>DAY(Sheet1!$A1681)</f>
        <v>12</v>
      </c>
      <c r="K1681" s="18" t="s">
        <v>2022</v>
      </c>
      <c r="L1681" s="19" t="str">
        <f t="shared" si="53"/>
        <v>Premium Customer</v>
      </c>
    </row>
    <row r="1682" spans="1:12" ht="15.75" customHeight="1" x14ac:dyDescent="0.3">
      <c r="A1682" s="7">
        <v>45769</v>
      </c>
      <c r="B1682" s="8" t="s">
        <v>528</v>
      </c>
      <c r="C1682" s="8" t="s">
        <v>8</v>
      </c>
      <c r="D1682" s="8" t="s">
        <v>19</v>
      </c>
      <c r="E1682" s="9">
        <v>29.52</v>
      </c>
      <c r="F1682" s="8" t="s">
        <v>11</v>
      </c>
      <c r="G1682" s="8">
        <v>59.04</v>
      </c>
      <c r="H1682" s="10">
        <f t="shared" si="52"/>
        <v>4</v>
      </c>
      <c r="I1682" s="10">
        <f>YEAR(Sheet1!$A1682)</f>
        <v>2025</v>
      </c>
      <c r="J1682" s="10">
        <f>DAY(Sheet1!$A1682)</f>
        <v>22</v>
      </c>
      <c r="K1682" s="12" t="s">
        <v>2023</v>
      </c>
      <c r="L1682" s="13" t="str">
        <f t="shared" si="53"/>
        <v>Premium Customer</v>
      </c>
    </row>
    <row r="1683" spans="1:12" ht="15.75" customHeight="1" x14ac:dyDescent="0.3">
      <c r="A1683" s="14">
        <v>45424</v>
      </c>
      <c r="B1683" s="15" t="s">
        <v>622</v>
      </c>
      <c r="C1683" s="15" t="s">
        <v>24</v>
      </c>
      <c r="D1683" s="15" t="s">
        <v>16</v>
      </c>
      <c r="E1683" s="16">
        <v>19.75</v>
      </c>
      <c r="F1683" s="15" t="s">
        <v>11</v>
      </c>
      <c r="G1683" s="15">
        <v>59.25</v>
      </c>
      <c r="H1683" s="17">
        <f t="shared" si="52"/>
        <v>5</v>
      </c>
      <c r="I1683" s="17">
        <f>YEAR(Sheet1!$A1683)</f>
        <v>2024</v>
      </c>
      <c r="J1683" s="17">
        <f>DAY(Sheet1!$A1683)</f>
        <v>12</v>
      </c>
      <c r="K1683" s="18" t="s">
        <v>2022</v>
      </c>
      <c r="L1683" s="19" t="str">
        <f t="shared" si="53"/>
        <v>Premium Customer</v>
      </c>
    </row>
    <row r="1684" spans="1:12" ht="15.75" customHeight="1" x14ac:dyDescent="0.3">
      <c r="A1684" s="7">
        <v>45694</v>
      </c>
      <c r="B1684" s="8" t="s">
        <v>732</v>
      </c>
      <c r="C1684" s="8" t="s">
        <v>13</v>
      </c>
      <c r="D1684" s="8" t="s">
        <v>9</v>
      </c>
      <c r="E1684" s="9">
        <v>19.760000000000002</v>
      </c>
      <c r="F1684" s="8" t="s">
        <v>11</v>
      </c>
      <c r="G1684" s="8">
        <v>59.28</v>
      </c>
      <c r="H1684" s="10">
        <f t="shared" si="52"/>
        <v>2</v>
      </c>
      <c r="I1684" s="10">
        <f>YEAR(Sheet1!$A1684)</f>
        <v>2025</v>
      </c>
      <c r="J1684" s="10">
        <f>DAY(Sheet1!$A1684)</f>
        <v>6</v>
      </c>
      <c r="K1684" s="12" t="s">
        <v>2022</v>
      </c>
      <c r="L1684" s="13" t="str">
        <f t="shared" si="53"/>
        <v>Premium Customer</v>
      </c>
    </row>
    <row r="1685" spans="1:12" ht="15.75" customHeight="1" x14ac:dyDescent="0.3">
      <c r="A1685" s="14">
        <v>45647</v>
      </c>
      <c r="B1685" s="15" t="s">
        <v>357</v>
      </c>
      <c r="C1685" s="15" t="s">
        <v>13</v>
      </c>
      <c r="D1685" s="15" t="s">
        <v>9</v>
      </c>
      <c r="E1685" s="16">
        <v>19.78</v>
      </c>
      <c r="F1685" s="15" t="s">
        <v>10</v>
      </c>
      <c r="G1685" s="15">
        <v>59.34</v>
      </c>
      <c r="H1685" s="17">
        <f t="shared" si="52"/>
        <v>12</v>
      </c>
      <c r="I1685" s="17">
        <f>YEAR(Sheet1!$A1685)</f>
        <v>2024</v>
      </c>
      <c r="J1685" s="17">
        <f>DAY(Sheet1!$A1685)</f>
        <v>21</v>
      </c>
      <c r="K1685" s="18" t="s">
        <v>2023</v>
      </c>
      <c r="L1685" s="19" t="str">
        <f t="shared" si="53"/>
        <v>Premium Customer</v>
      </c>
    </row>
    <row r="1686" spans="1:12" ht="15.75" customHeight="1" x14ac:dyDescent="0.3">
      <c r="A1686" s="7">
        <v>45512</v>
      </c>
      <c r="B1686" s="8" t="s">
        <v>974</v>
      </c>
      <c r="C1686" s="8" t="s">
        <v>13</v>
      </c>
      <c r="D1686" s="8" t="s">
        <v>16</v>
      </c>
      <c r="E1686" s="9">
        <v>19.809999999999999</v>
      </c>
      <c r="F1686" s="8" t="s">
        <v>11</v>
      </c>
      <c r="G1686" s="8">
        <v>59.43</v>
      </c>
      <c r="H1686" s="10">
        <f t="shared" si="52"/>
        <v>8</v>
      </c>
      <c r="I1686" s="10">
        <f>YEAR(Sheet1!$A1686)</f>
        <v>2024</v>
      </c>
      <c r="J1686" s="10">
        <f>DAY(Sheet1!$A1686)</f>
        <v>8</v>
      </c>
      <c r="K1686" s="12" t="s">
        <v>2023</v>
      </c>
      <c r="L1686" s="13" t="str">
        <f t="shared" si="53"/>
        <v>Premium Customer</v>
      </c>
    </row>
    <row r="1687" spans="1:12" ht="15.75" customHeight="1" x14ac:dyDescent="0.3">
      <c r="A1687" s="14">
        <v>45760</v>
      </c>
      <c r="B1687" s="15" t="s">
        <v>1500</v>
      </c>
      <c r="C1687" s="15" t="s">
        <v>18</v>
      </c>
      <c r="D1687" s="15" t="s">
        <v>14</v>
      </c>
      <c r="E1687" s="16">
        <v>29.73</v>
      </c>
      <c r="F1687" s="15" t="s">
        <v>11</v>
      </c>
      <c r="G1687" s="15">
        <v>59.46</v>
      </c>
      <c r="H1687" s="17">
        <f t="shared" si="52"/>
        <v>4</v>
      </c>
      <c r="I1687" s="17">
        <f>YEAR(Sheet1!$A1687)</f>
        <v>2025</v>
      </c>
      <c r="J1687" s="17">
        <f>DAY(Sheet1!$A1687)</f>
        <v>13</v>
      </c>
      <c r="K1687" s="18" t="s">
        <v>2022</v>
      </c>
      <c r="L1687" s="19" t="str">
        <f t="shared" si="53"/>
        <v>Premium Customer</v>
      </c>
    </row>
    <row r="1688" spans="1:12" ht="15.75" customHeight="1" x14ac:dyDescent="0.3">
      <c r="A1688" s="7">
        <v>45752</v>
      </c>
      <c r="B1688" s="8" t="s">
        <v>1603</v>
      </c>
      <c r="C1688" s="8" t="s">
        <v>13</v>
      </c>
      <c r="D1688" s="8" t="s">
        <v>19</v>
      </c>
      <c r="E1688" s="9">
        <v>19.84</v>
      </c>
      <c r="F1688" s="8" t="s">
        <v>11</v>
      </c>
      <c r="G1688" s="8">
        <v>59.52</v>
      </c>
      <c r="H1688" s="10">
        <f t="shared" si="52"/>
        <v>4</v>
      </c>
      <c r="I1688" s="10">
        <f>YEAR(Sheet1!$A1688)</f>
        <v>2025</v>
      </c>
      <c r="J1688" s="10">
        <f>DAY(Sheet1!$A1688)</f>
        <v>5</v>
      </c>
      <c r="K1688" s="12" t="s">
        <v>2022</v>
      </c>
      <c r="L1688" s="13" t="str">
        <f t="shared" si="53"/>
        <v>Premium Customer</v>
      </c>
    </row>
    <row r="1689" spans="1:12" ht="15.75" customHeight="1" x14ac:dyDescent="0.3">
      <c r="A1689" s="14">
        <v>45618</v>
      </c>
      <c r="B1689" s="15" t="s">
        <v>861</v>
      </c>
      <c r="C1689" s="15" t="s">
        <v>13</v>
      </c>
      <c r="D1689" s="15" t="s">
        <v>19</v>
      </c>
      <c r="E1689" s="16">
        <v>29.77</v>
      </c>
      <c r="F1689" s="15" t="s">
        <v>11</v>
      </c>
      <c r="G1689" s="15">
        <v>59.54</v>
      </c>
      <c r="H1689" s="17">
        <f t="shared" si="52"/>
        <v>11</v>
      </c>
      <c r="I1689" s="17">
        <f>YEAR(Sheet1!$A1689)</f>
        <v>2024</v>
      </c>
      <c r="J1689" s="17">
        <f>DAY(Sheet1!$A1689)</f>
        <v>22</v>
      </c>
      <c r="K1689" s="18" t="s">
        <v>2023</v>
      </c>
      <c r="L1689" s="19" t="str">
        <f t="shared" si="53"/>
        <v>Premium Customer</v>
      </c>
    </row>
    <row r="1690" spans="1:12" ht="15.75" customHeight="1" x14ac:dyDescent="0.3">
      <c r="A1690" s="7">
        <v>45605</v>
      </c>
      <c r="B1690" s="8" t="s">
        <v>1953</v>
      </c>
      <c r="C1690" s="8" t="s">
        <v>13</v>
      </c>
      <c r="D1690" s="8" t="s">
        <v>9</v>
      </c>
      <c r="E1690" s="9">
        <v>29.84</v>
      </c>
      <c r="F1690" s="8" t="s">
        <v>10</v>
      </c>
      <c r="G1690" s="8">
        <v>59.68</v>
      </c>
      <c r="H1690" s="10">
        <f t="shared" si="52"/>
        <v>11</v>
      </c>
      <c r="I1690" s="10">
        <f>YEAR(Sheet1!$A1690)</f>
        <v>2024</v>
      </c>
      <c r="J1690" s="10">
        <f>DAY(Sheet1!$A1690)</f>
        <v>9</v>
      </c>
      <c r="K1690" s="12" t="s">
        <v>2022</v>
      </c>
      <c r="L1690" s="13" t="str">
        <f t="shared" si="53"/>
        <v>Premium Customer</v>
      </c>
    </row>
    <row r="1691" spans="1:12" ht="15.75" customHeight="1" x14ac:dyDescent="0.3">
      <c r="A1691" s="14">
        <v>45420</v>
      </c>
      <c r="B1691" s="15" t="s">
        <v>86</v>
      </c>
      <c r="C1691" s="15" t="s">
        <v>8</v>
      </c>
      <c r="D1691" s="15" t="s">
        <v>14</v>
      </c>
      <c r="E1691" s="16">
        <v>29.85</v>
      </c>
      <c r="F1691" s="15" t="s">
        <v>11</v>
      </c>
      <c r="G1691" s="15">
        <v>59.7</v>
      </c>
      <c r="H1691" s="17">
        <f t="shared" si="52"/>
        <v>5</v>
      </c>
      <c r="I1691" s="17">
        <f>YEAR(Sheet1!$A1691)</f>
        <v>2024</v>
      </c>
      <c r="J1691" s="17">
        <f>DAY(Sheet1!$A1691)</f>
        <v>8</v>
      </c>
      <c r="K1691" s="18" t="s">
        <v>2023</v>
      </c>
      <c r="L1691" s="19" t="str">
        <f t="shared" si="53"/>
        <v>Premium Customer</v>
      </c>
    </row>
    <row r="1692" spans="1:12" ht="15.75" customHeight="1" x14ac:dyDescent="0.3">
      <c r="A1692" s="7">
        <v>45748</v>
      </c>
      <c r="B1692" s="8" t="s">
        <v>1253</v>
      </c>
      <c r="C1692" s="8" t="s">
        <v>24</v>
      </c>
      <c r="D1692" s="8" t="s">
        <v>14</v>
      </c>
      <c r="E1692" s="9">
        <v>29.85</v>
      </c>
      <c r="F1692" s="8" t="s">
        <v>10</v>
      </c>
      <c r="G1692" s="8">
        <v>59.7</v>
      </c>
      <c r="H1692" s="10">
        <f t="shared" si="52"/>
        <v>4</v>
      </c>
      <c r="I1692" s="10">
        <f>YEAR(Sheet1!$A1692)</f>
        <v>2025</v>
      </c>
      <c r="J1692" s="10">
        <f>DAY(Sheet1!$A1692)</f>
        <v>1</v>
      </c>
      <c r="K1692" s="12" t="s">
        <v>2022</v>
      </c>
      <c r="L1692" s="13" t="str">
        <f t="shared" si="53"/>
        <v>Premium Customer</v>
      </c>
    </row>
    <row r="1693" spans="1:12" ht="15.75" customHeight="1" x14ac:dyDescent="0.3">
      <c r="A1693" s="14">
        <v>45716</v>
      </c>
      <c r="B1693" s="15" t="s">
        <v>188</v>
      </c>
      <c r="C1693" s="15" t="s">
        <v>24</v>
      </c>
      <c r="D1693" s="15" t="s">
        <v>19</v>
      </c>
      <c r="E1693" s="16">
        <v>19.91</v>
      </c>
      <c r="F1693" s="15" t="s">
        <v>10</v>
      </c>
      <c r="G1693" s="15">
        <v>59.73</v>
      </c>
      <c r="H1693" s="17">
        <f t="shared" si="52"/>
        <v>2</v>
      </c>
      <c r="I1693" s="17">
        <f>YEAR(Sheet1!$A1693)</f>
        <v>2025</v>
      </c>
      <c r="J1693" s="17">
        <f>DAY(Sheet1!$A1693)</f>
        <v>28</v>
      </c>
      <c r="K1693" s="18" t="s">
        <v>2023</v>
      </c>
      <c r="L1693" s="19" t="str">
        <f t="shared" si="53"/>
        <v>Premium Customer</v>
      </c>
    </row>
    <row r="1694" spans="1:12" ht="15.75" customHeight="1" x14ac:dyDescent="0.3">
      <c r="A1694" s="7">
        <v>45428</v>
      </c>
      <c r="B1694" s="8" t="s">
        <v>1393</v>
      </c>
      <c r="C1694" s="8" t="s">
        <v>8</v>
      </c>
      <c r="D1694" s="8" t="s">
        <v>19</v>
      </c>
      <c r="E1694" s="9">
        <v>29.87</v>
      </c>
      <c r="F1694" s="8" t="s">
        <v>11</v>
      </c>
      <c r="G1694" s="8">
        <v>59.74</v>
      </c>
      <c r="H1694" s="10">
        <f t="shared" si="52"/>
        <v>5</v>
      </c>
      <c r="I1694" s="10">
        <f>YEAR(Sheet1!$A1694)</f>
        <v>2024</v>
      </c>
      <c r="J1694" s="10">
        <f>DAY(Sheet1!$A1694)</f>
        <v>16</v>
      </c>
      <c r="K1694" s="12" t="s">
        <v>2022</v>
      </c>
      <c r="L1694" s="13" t="str">
        <f t="shared" si="53"/>
        <v>Premium Customer</v>
      </c>
    </row>
    <row r="1695" spans="1:12" ht="15.75" customHeight="1" x14ac:dyDescent="0.3">
      <c r="A1695" s="14">
        <v>45460</v>
      </c>
      <c r="B1695" s="15" t="s">
        <v>41</v>
      </c>
      <c r="C1695" s="15" t="s">
        <v>24</v>
      </c>
      <c r="D1695" s="15" t="s">
        <v>9</v>
      </c>
      <c r="E1695" s="16">
        <v>29.91</v>
      </c>
      <c r="F1695" s="15" t="s">
        <v>10</v>
      </c>
      <c r="G1695" s="15">
        <v>59.82</v>
      </c>
      <c r="H1695" s="17">
        <f t="shared" si="52"/>
        <v>6</v>
      </c>
      <c r="I1695" s="17">
        <f>YEAR(Sheet1!$A1695)</f>
        <v>2024</v>
      </c>
      <c r="J1695" s="17">
        <f>DAY(Sheet1!$A1695)</f>
        <v>17</v>
      </c>
      <c r="K1695" s="18" t="s">
        <v>2022</v>
      </c>
      <c r="L1695" s="19" t="str">
        <f t="shared" si="53"/>
        <v>Premium Customer</v>
      </c>
    </row>
    <row r="1696" spans="1:12" ht="15.75" customHeight="1" x14ac:dyDescent="0.3">
      <c r="A1696" s="7">
        <v>45694</v>
      </c>
      <c r="B1696" s="8" t="s">
        <v>1714</v>
      </c>
      <c r="C1696" s="8" t="s">
        <v>24</v>
      </c>
      <c r="D1696" s="8" t="s">
        <v>16</v>
      </c>
      <c r="E1696" s="9">
        <v>19.940000000000001</v>
      </c>
      <c r="F1696" s="8" t="s">
        <v>11</v>
      </c>
      <c r="G1696" s="8">
        <v>59.82</v>
      </c>
      <c r="H1696" s="10">
        <f t="shared" si="52"/>
        <v>2</v>
      </c>
      <c r="I1696" s="10">
        <f>YEAR(Sheet1!$A1696)</f>
        <v>2025</v>
      </c>
      <c r="J1696" s="10">
        <f>DAY(Sheet1!$A1696)</f>
        <v>6</v>
      </c>
      <c r="K1696" s="12" t="s">
        <v>2022</v>
      </c>
      <c r="L1696" s="13" t="str">
        <f t="shared" si="53"/>
        <v>Premium Customer</v>
      </c>
    </row>
    <row r="1697" spans="1:12" ht="15.75" customHeight="1" x14ac:dyDescent="0.3">
      <c r="A1697" s="14">
        <v>45553</v>
      </c>
      <c r="B1697" s="15" t="s">
        <v>1031</v>
      </c>
      <c r="C1697" s="15" t="s">
        <v>18</v>
      </c>
      <c r="D1697" s="15" t="s">
        <v>9</v>
      </c>
      <c r="E1697" s="16">
        <v>19.95</v>
      </c>
      <c r="F1697" s="15" t="s">
        <v>11</v>
      </c>
      <c r="G1697" s="15">
        <v>59.85</v>
      </c>
      <c r="H1697" s="17">
        <f t="shared" si="52"/>
        <v>9</v>
      </c>
      <c r="I1697" s="17">
        <f>YEAR(Sheet1!$A1697)</f>
        <v>2024</v>
      </c>
      <c r="J1697" s="17">
        <f>DAY(Sheet1!$A1697)</f>
        <v>18</v>
      </c>
      <c r="K1697" s="18" t="s">
        <v>2022</v>
      </c>
      <c r="L1697" s="19" t="str">
        <f t="shared" si="53"/>
        <v>Premium Customer</v>
      </c>
    </row>
    <row r="1698" spans="1:12" ht="15.75" customHeight="1" x14ac:dyDescent="0.3">
      <c r="A1698" s="7">
        <v>45575</v>
      </c>
      <c r="B1698" s="8" t="s">
        <v>1759</v>
      </c>
      <c r="C1698" s="8" t="s">
        <v>8</v>
      </c>
      <c r="D1698" s="8" t="s">
        <v>19</v>
      </c>
      <c r="E1698" s="9">
        <v>29.93</v>
      </c>
      <c r="F1698" s="8" t="s">
        <v>10</v>
      </c>
      <c r="G1698" s="8">
        <v>59.86</v>
      </c>
      <c r="H1698" s="10">
        <f t="shared" si="52"/>
        <v>10</v>
      </c>
      <c r="I1698" s="10">
        <f>YEAR(Sheet1!$A1698)</f>
        <v>2024</v>
      </c>
      <c r="J1698" s="10">
        <f>DAY(Sheet1!$A1698)</f>
        <v>10</v>
      </c>
      <c r="K1698" s="12" t="s">
        <v>2022</v>
      </c>
      <c r="L1698" s="13" t="str">
        <f t="shared" si="53"/>
        <v>Premium Customer</v>
      </c>
    </row>
    <row r="1699" spans="1:12" ht="15.75" customHeight="1" x14ac:dyDescent="0.3">
      <c r="A1699" s="14">
        <v>45669</v>
      </c>
      <c r="B1699" s="15" t="s">
        <v>1004</v>
      </c>
      <c r="C1699" s="15" t="s">
        <v>18</v>
      </c>
      <c r="D1699" s="15" t="s">
        <v>19</v>
      </c>
      <c r="E1699" s="16">
        <v>29.94</v>
      </c>
      <c r="F1699" s="15" t="s">
        <v>10</v>
      </c>
      <c r="G1699" s="15">
        <v>59.88</v>
      </c>
      <c r="H1699" s="17">
        <f t="shared" si="52"/>
        <v>1</v>
      </c>
      <c r="I1699" s="17">
        <f>YEAR(Sheet1!$A1699)</f>
        <v>2025</v>
      </c>
      <c r="J1699" s="17">
        <f>DAY(Sheet1!$A1699)</f>
        <v>12</v>
      </c>
      <c r="K1699" s="18" t="s">
        <v>2023</v>
      </c>
      <c r="L1699" s="19" t="str">
        <f t="shared" si="53"/>
        <v>Premium Customer</v>
      </c>
    </row>
    <row r="1700" spans="1:12" ht="15.75" customHeight="1" x14ac:dyDescent="0.3">
      <c r="A1700" s="7">
        <v>45718</v>
      </c>
      <c r="B1700" s="8" t="s">
        <v>1801</v>
      </c>
      <c r="C1700" s="8" t="s">
        <v>13</v>
      </c>
      <c r="D1700" s="8" t="s">
        <v>19</v>
      </c>
      <c r="E1700" s="9">
        <v>29.95</v>
      </c>
      <c r="F1700" s="8" t="s">
        <v>10</v>
      </c>
      <c r="G1700" s="8">
        <v>59.9</v>
      </c>
      <c r="H1700" s="10">
        <f t="shared" si="52"/>
        <v>3</v>
      </c>
      <c r="I1700" s="10">
        <f>YEAR(Sheet1!$A1700)</f>
        <v>2025</v>
      </c>
      <c r="J1700" s="10">
        <f>DAY(Sheet1!$A1700)</f>
        <v>2</v>
      </c>
      <c r="K1700" s="12" t="s">
        <v>2022</v>
      </c>
      <c r="L1700" s="13" t="str">
        <f t="shared" si="53"/>
        <v>Premium Customer</v>
      </c>
    </row>
    <row r="1701" spans="1:12" ht="15.75" customHeight="1" x14ac:dyDescent="0.3">
      <c r="A1701" s="14">
        <v>45428</v>
      </c>
      <c r="B1701" s="15" t="s">
        <v>926</v>
      </c>
      <c r="C1701" s="15" t="s">
        <v>18</v>
      </c>
      <c r="D1701" s="15" t="s">
        <v>19</v>
      </c>
      <c r="E1701" s="16">
        <v>29.97</v>
      </c>
      <c r="F1701" s="15" t="s">
        <v>11</v>
      </c>
      <c r="G1701" s="15">
        <v>59.94</v>
      </c>
      <c r="H1701" s="17">
        <f t="shared" si="52"/>
        <v>5</v>
      </c>
      <c r="I1701" s="17">
        <f>YEAR(Sheet1!$A1701)</f>
        <v>2024</v>
      </c>
      <c r="J1701" s="17">
        <f>DAY(Sheet1!$A1701)</f>
        <v>16</v>
      </c>
      <c r="K1701" s="18" t="s">
        <v>2022</v>
      </c>
      <c r="L1701" s="19" t="str">
        <f t="shared" si="53"/>
        <v>Premium Customer</v>
      </c>
    </row>
    <row r="1702" spans="1:12" ht="15.75" customHeight="1" x14ac:dyDescent="0.3">
      <c r="A1702" s="7">
        <v>45738</v>
      </c>
      <c r="B1702" s="8" t="s">
        <v>369</v>
      </c>
      <c r="C1702" s="8" t="s">
        <v>8</v>
      </c>
      <c r="D1702" s="8" t="s">
        <v>14</v>
      </c>
      <c r="E1702" s="9">
        <v>29.99</v>
      </c>
      <c r="F1702" s="8" t="s">
        <v>11</v>
      </c>
      <c r="G1702" s="8">
        <v>59.98</v>
      </c>
      <c r="H1702" s="10">
        <f t="shared" si="52"/>
        <v>3</v>
      </c>
      <c r="I1702" s="10">
        <f>YEAR(Sheet1!$A1702)</f>
        <v>2025</v>
      </c>
      <c r="J1702" s="10">
        <f>DAY(Sheet1!$A1702)</f>
        <v>22</v>
      </c>
      <c r="K1702" s="12" t="s">
        <v>2022</v>
      </c>
      <c r="L1702" s="13" t="str">
        <f t="shared" si="53"/>
        <v>Premium Customer</v>
      </c>
    </row>
    <row r="1703" spans="1:12" ht="15.75" customHeight="1" x14ac:dyDescent="0.3">
      <c r="A1703" s="14">
        <v>45672</v>
      </c>
      <c r="B1703" s="15" t="s">
        <v>1811</v>
      </c>
      <c r="C1703" s="15" t="s">
        <v>18</v>
      </c>
      <c r="D1703" s="15" t="s">
        <v>9</v>
      </c>
      <c r="E1703" s="16">
        <v>20</v>
      </c>
      <c r="F1703" s="15" t="s">
        <v>11</v>
      </c>
      <c r="G1703" s="15">
        <v>60</v>
      </c>
      <c r="H1703" s="17">
        <f t="shared" si="52"/>
        <v>1</v>
      </c>
      <c r="I1703" s="17">
        <f>YEAR(Sheet1!$A1703)</f>
        <v>2025</v>
      </c>
      <c r="J1703" s="17">
        <f>DAY(Sheet1!$A1703)</f>
        <v>15</v>
      </c>
      <c r="K1703" s="18" t="s">
        <v>2023</v>
      </c>
      <c r="L1703" s="19" t="str">
        <f t="shared" si="53"/>
        <v>Premium Customer</v>
      </c>
    </row>
    <row r="1704" spans="1:12" ht="15.75" customHeight="1" x14ac:dyDescent="0.3">
      <c r="A1704" s="7">
        <v>45441</v>
      </c>
      <c r="B1704" s="8" t="s">
        <v>1816</v>
      </c>
      <c r="C1704" s="8" t="s">
        <v>24</v>
      </c>
      <c r="D1704" s="8" t="s">
        <v>14</v>
      </c>
      <c r="E1704" s="9">
        <v>20.09</v>
      </c>
      <c r="F1704" s="8" t="s">
        <v>10</v>
      </c>
      <c r="G1704" s="8">
        <v>60.27</v>
      </c>
      <c r="H1704" s="10">
        <f t="shared" si="52"/>
        <v>5</v>
      </c>
      <c r="I1704" s="10">
        <f>YEAR(Sheet1!$A1704)</f>
        <v>2024</v>
      </c>
      <c r="J1704" s="10">
        <f>DAY(Sheet1!$A1704)</f>
        <v>29</v>
      </c>
      <c r="K1704" s="12" t="s">
        <v>2022</v>
      </c>
      <c r="L1704" s="13" t="str">
        <f t="shared" si="53"/>
        <v>Premium Customer</v>
      </c>
    </row>
    <row r="1705" spans="1:12" ht="15.75" customHeight="1" x14ac:dyDescent="0.3">
      <c r="A1705" s="14">
        <v>45614</v>
      </c>
      <c r="B1705" s="15" t="s">
        <v>12</v>
      </c>
      <c r="C1705" s="15" t="s">
        <v>13</v>
      </c>
      <c r="D1705" s="15" t="s">
        <v>14</v>
      </c>
      <c r="E1705" s="16">
        <v>20.100000000000001</v>
      </c>
      <c r="F1705" s="15" t="s">
        <v>11</v>
      </c>
      <c r="G1705" s="15">
        <v>60.3</v>
      </c>
      <c r="H1705" s="17">
        <f t="shared" si="52"/>
        <v>11</v>
      </c>
      <c r="I1705" s="17">
        <f>YEAR(Sheet1!$A1705)</f>
        <v>2024</v>
      </c>
      <c r="J1705" s="17">
        <f>DAY(Sheet1!$A1705)</f>
        <v>18</v>
      </c>
      <c r="K1705" s="18" t="s">
        <v>2023</v>
      </c>
      <c r="L1705" s="19" t="str">
        <f t="shared" si="53"/>
        <v>Premium Customer</v>
      </c>
    </row>
    <row r="1706" spans="1:12" ht="15.75" customHeight="1" x14ac:dyDescent="0.3">
      <c r="A1706" s="7">
        <v>45606</v>
      </c>
      <c r="B1706" s="8" t="s">
        <v>1949</v>
      </c>
      <c r="C1706" s="8" t="s">
        <v>18</v>
      </c>
      <c r="D1706" s="8" t="s">
        <v>16</v>
      </c>
      <c r="E1706" s="9">
        <v>20.13</v>
      </c>
      <c r="F1706" s="8" t="s">
        <v>11</v>
      </c>
      <c r="G1706" s="8">
        <v>60.39</v>
      </c>
      <c r="H1706" s="10">
        <f t="shared" si="52"/>
        <v>11</v>
      </c>
      <c r="I1706" s="10">
        <f>YEAR(Sheet1!$A1706)</f>
        <v>2024</v>
      </c>
      <c r="J1706" s="10">
        <f>DAY(Sheet1!$A1706)</f>
        <v>10</v>
      </c>
      <c r="K1706" s="12" t="s">
        <v>2022</v>
      </c>
      <c r="L1706" s="13" t="str">
        <f t="shared" si="53"/>
        <v>Premium Customer</v>
      </c>
    </row>
    <row r="1707" spans="1:12" ht="15.75" customHeight="1" x14ac:dyDescent="0.3">
      <c r="A1707" s="14">
        <v>45700</v>
      </c>
      <c r="B1707" s="15" t="s">
        <v>1610</v>
      </c>
      <c r="C1707" s="15" t="s">
        <v>18</v>
      </c>
      <c r="D1707" s="15" t="s">
        <v>16</v>
      </c>
      <c r="E1707" s="16">
        <v>20.18</v>
      </c>
      <c r="F1707" s="15" t="s">
        <v>10</v>
      </c>
      <c r="G1707" s="15">
        <v>60.54</v>
      </c>
      <c r="H1707" s="17">
        <f t="shared" si="52"/>
        <v>2</v>
      </c>
      <c r="I1707" s="17">
        <f>YEAR(Sheet1!$A1707)</f>
        <v>2025</v>
      </c>
      <c r="J1707" s="17">
        <f>DAY(Sheet1!$A1707)</f>
        <v>12</v>
      </c>
      <c r="K1707" s="18" t="s">
        <v>2023</v>
      </c>
      <c r="L1707" s="19" t="str">
        <f t="shared" si="53"/>
        <v>Premium Customer</v>
      </c>
    </row>
    <row r="1708" spans="1:12" ht="15.75" customHeight="1" x14ac:dyDescent="0.3">
      <c r="A1708" s="7">
        <v>45441</v>
      </c>
      <c r="B1708" s="8" t="s">
        <v>1792</v>
      </c>
      <c r="C1708" s="8" t="s">
        <v>18</v>
      </c>
      <c r="D1708" s="8" t="s">
        <v>9</v>
      </c>
      <c r="E1708" s="9">
        <v>20.190000000000001</v>
      </c>
      <c r="F1708" s="8" t="s">
        <v>11</v>
      </c>
      <c r="G1708" s="8">
        <v>60.57</v>
      </c>
      <c r="H1708" s="10">
        <f t="shared" si="52"/>
        <v>5</v>
      </c>
      <c r="I1708" s="10">
        <f>YEAR(Sheet1!$A1708)</f>
        <v>2024</v>
      </c>
      <c r="J1708" s="10">
        <f>DAY(Sheet1!$A1708)</f>
        <v>29</v>
      </c>
      <c r="K1708" s="12" t="s">
        <v>2022</v>
      </c>
      <c r="L1708" s="13" t="str">
        <f t="shared" si="53"/>
        <v>Premium Customer</v>
      </c>
    </row>
    <row r="1709" spans="1:12" ht="15.75" customHeight="1" x14ac:dyDescent="0.3">
      <c r="A1709" s="14">
        <v>45624</v>
      </c>
      <c r="B1709" s="15" t="s">
        <v>179</v>
      </c>
      <c r="C1709" s="15" t="s">
        <v>8</v>
      </c>
      <c r="D1709" s="15" t="s">
        <v>9</v>
      </c>
      <c r="E1709" s="16">
        <v>20.190000000000001</v>
      </c>
      <c r="F1709" s="15" t="s">
        <v>10</v>
      </c>
      <c r="G1709" s="15">
        <v>60.57</v>
      </c>
      <c r="H1709" s="17">
        <f t="shared" si="52"/>
        <v>11</v>
      </c>
      <c r="I1709" s="17">
        <f>YEAR(Sheet1!$A1709)</f>
        <v>2024</v>
      </c>
      <c r="J1709" s="17">
        <f>DAY(Sheet1!$A1709)</f>
        <v>28</v>
      </c>
      <c r="K1709" s="18" t="s">
        <v>2022</v>
      </c>
      <c r="L1709" s="19" t="str">
        <f t="shared" si="53"/>
        <v>Premium Customer</v>
      </c>
    </row>
    <row r="1710" spans="1:12" ht="15.75" customHeight="1" x14ac:dyDescent="0.3">
      <c r="A1710" s="7">
        <v>45454</v>
      </c>
      <c r="B1710" s="8" t="s">
        <v>957</v>
      </c>
      <c r="C1710" s="8" t="s">
        <v>8</v>
      </c>
      <c r="D1710" s="8" t="s">
        <v>9</v>
      </c>
      <c r="E1710" s="9">
        <v>20.21</v>
      </c>
      <c r="F1710" s="8" t="s">
        <v>10</v>
      </c>
      <c r="G1710" s="8">
        <v>60.63</v>
      </c>
      <c r="H1710" s="10">
        <f t="shared" si="52"/>
        <v>6</v>
      </c>
      <c r="I1710" s="10">
        <f>YEAR(Sheet1!$A1710)</f>
        <v>2024</v>
      </c>
      <c r="J1710" s="10">
        <f>DAY(Sheet1!$A1710)</f>
        <v>11</v>
      </c>
      <c r="K1710" s="12" t="s">
        <v>2023</v>
      </c>
      <c r="L1710" s="13" t="str">
        <f t="shared" si="53"/>
        <v>Premium Customer</v>
      </c>
    </row>
    <row r="1711" spans="1:12" ht="15.75" customHeight="1" x14ac:dyDescent="0.3">
      <c r="A1711" s="14">
        <v>45693</v>
      </c>
      <c r="B1711" s="15" t="s">
        <v>1903</v>
      </c>
      <c r="C1711" s="15" t="s">
        <v>24</v>
      </c>
      <c r="D1711" s="15" t="s">
        <v>16</v>
      </c>
      <c r="E1711" s="16">
        <v>20.260000000000002</v>
      </c>
      <c r="F1711" s="15" t="s">
        <v>11</v>
      </c>
      <c r="G1711" s="15">
        <v>60.78</v>
      </c>
      <c r="H1711" s="17">
        <f t="shared" si="52"/>
        <v>2</v>
      </c>
      <c r="I1711" s="17">
        <f>YEAR(Sheet1!$A1711)</f>
        <v>2025</v>
      </c>
      <c r="J1711" s="17">
        <f>DAY(Sheet1!$A1711)</f>
        <v>5</v>
      </c>
      <c r="K1711" s="18" t="s">
        <v>2023</v>
      </c>
      <c r="L1711" s="19" t="str">
        <f t="shared" si="53"/>
        <v>Premium Customer</v>
      </c>
    </row>
    <row r="1712" spans="1:12" ht="15.75" customHeight="1" x14ac:dyDescent="0.3">
      <c r="A1712" s="7">
        <v>45442</v>
      </c>
      <c r="B1712" s="8" t="s">
        <v>1925</v>
      </c>
      <c r="C1712" s="8" t="s">
        <v>24</v>
      </c>
      <c r="D1712" s="8" t="s">
        <v>16</v>
      </c>
      <c r="E1712" s="9">
        <v>20.32</v>
      </c>
      <c r="F1712" s="8" t="s">
        <v>10</v>
      </c>
      <c r="G1712" s="8">
        <v>60.96</v>
      </c>
      <c r="H1712" s="10">
        <f t="shared" si="52"/>
        <v>5</v>
      </c>
      <c r="I1712" s="10">
        <f>YEAR(Sheet1!$A1712)</f>
        <v>2024</v>
      </c>
      <c r="J1712" s="10">
        <f>DAY(Sheet1!$A1712)</f>
        <v>30</v>
      </c>
      <c r="K1712" s="12" t="s">
        <v>2023</v>
      </c>
      <c r="L1712" s="13" t="str">
        <f t="shared" si="53"/>
        <v>Premium Customer</v>
      </c>
    </row>
    <row r="1713" spans="1:12" ht="15.75" customHeight="1" x14ac:dyDescent="0.3">
      <c r="A1713" s="14">
        <v>45643</v>
      </c>
      <c r="B1713" s="15" t="s">
        <v>1061</v>
      </c>
      <c r="C1713" s="15" t="s">
        <v>24</v>
      </c>
      <c r="D1713" s="15" t="s">
        <v>16</v>
      </c>
      <c r="E1713" s="16">
        <v>20.32</v>
      </c>
      <c r="F1713" s="15" t="s">
        <v>11</v>
      </c>
      <c r="G1713" s="15">
        <v>60.96</v>
      </c>
      <c r="H1713" s="17">
        <f t="shared" si="52"/>
        <v>12</v>
      </c>
      <c r="I1713" s="17">
        <f>YEAR(Sheet1!$A1713)</f>
        <v>2024</v>
      </c>
      <c r="J1713" s="17">
        <f>DAY(Sheet1!$A1713)</f>
        <v>17</v>
      </c>
      <c r="K1713" s="18" t="s">
        <v>2022</v>
      </c>
      <c r="L1713" s="19" t="str">
        <f t="shared" si="53"/>
        <v>Premium Customer</v>
      </c>
    </row>
    <row r="1714" spans="1:12" ht="15.75" customHeight="1" x14ac:dyDescent="0.3">
      <c r="A1714" s="7">
        <v>45647</v>
      </c>
      <c r="B1714" s="8" t="s">
        <v>404</v>
      </c>
      <c r="C1714" s="8" t="s">
        <v>13</v>
      </c>
      <c r="D1714" s="8" t="s">
        <v>14</v>
      </c>
      <c r="E1714" s="9">
        <v>20.32</v>
      </c>
      <c r="F1714" s="8" t="s">
        <v>11</v>
      </c>
      <c r="G1714" s="8">
        <v>60.96</v>
      </c>
      <c r="H1714" s="10">
        <f t="shared" si="52"/>
        <v>12</v>
      </c>
      <c r="I1714" s="10">
        <f>YEAR(Sheet1!$A1714)</f>
        <v>2024</v>
      </c>
      <c r="J1714" s="10">
        <f>DAY(Sheet1!$A1714)</f>
        <v>21</v>
      </c>
      <c r="K1714" s="12" t="s">
        <v>2022</v>
      </c>
      <c r="L1714" s="13" t="str">
        <f t="shared" si="53"/>
        <v>Premium Customer</v>
      </c>
    </row>
    <row r="1715" spans="1:12" ht="15.75" customHeight="1" x14ac:dyDescent="0.3">
      <c r="A1715" s="14">
        <v>45538</v>
      </c>
      <c r="B1715" s="15" t="s">
        <v>1427</v>
      </c>
      <c r="C1715" s="15" t="s">
        <v>18</v>
      </c>
      <c r="D1715" s="15" t="s">
        <v>9</v>
      </c>
      <c r="E1715" s="16">
        <v>20.329999999999998</v>
      </c>
      <c r="F1715" s="15" t="s">
        <v>10</v>
      </c>
      <c r="G1715" s="15">
        <v>60.99</v>
      </c>
      <c r="H1715" s="17">
        <f t="shared" si="52"/>
        <v>9</v>
      </c>
      <c r="I1715" s="17">
        <f>YEAR(Sheet1!$A1715)</f>
        <v>2024</v>
      </c>
      <c r="J1715" s="17">
        <f>DAY(Sheet1!$A1715)</f>
        <v>3</v>
      </c>
      <c r="K1715" s="18" t="s">
        <v>2022</v>
      </c>
      <c r="L1715" s="19" t="str">
        <f t="shared" si="53"/>
        <v>Premium Customer</v>
      </c>
    </row>
    <row r="1716" spans="1:12" ht="15.75" customHeight="1" x14ac:dyDescent="0.3">
      <c r="A1716" s="7">
        <v>45631</v>
      </c>
      <c r="B1716" s="8" t="s">
        <v>1136</v>
      </c>
      <c r="C1716" s="8" t="s">
        <v>18</v>
      </c>
      <c r="D1716" s="8" t="s">
        <v>16</v>
      </c>
      <c r="E1716" s="9">
        <v>20.350000000000001</v>
      </c>
      <c r="F1716" s="8" t="s">
        <v>10</v>
      </c>
      <c r="G1716" s="8">
        <v>61.05</v>
      </c>
      <c r="H1716" s="10">
        <f t="shared" si="52"/>
        <v>12</v>
      </c>
      <c r="I1716" s="10">
        <f>YEAR(Sheet1!$A1716)</f>
        <v>2024</v>
      </c>
      <c r="J1716" s="10">
        <f>DAY(Sheet1!$A1716)</f>
        <v>5</v>
      </c>
      <c r="K1716" s="12" t="s">
        <v>2023</v>
      </c>
      <c r="L1716" s="13" t="str">
        <f t="shared" si="53"/>
        <v>Premium Customer</v>
      </c>
    </row>
    <row r="1717" spans="1:12" ht="15.75" customHeight="1" x14ac:dyDescent="0.3">
      <c r="A1717" s="14">
        <v>45575</v>
      </c>
      <c r="B1717" s="15" t="s">
        <v>907</v>
      </c>
      <c r="C1717" s="15" t="s">
        <v>18</v>
      </c>
      <c r="D1717" s="15" t="s">
        <v>16</v>
      </c>
      <c r="E1717" s="16">
        <v>20.420000000000002</v>
      </c>
      <c r="F1717" s="15" t="s">
        <v>10</v>
      </c>
      <c r="G1717" s="15">
        <v>61.26</v>
      </c>
      <c r="H1717" s="17">
        <f t="shared" si="52"/>
        <v>10</v>
      </c>
      <c r="I1717" s="17">
        <f>YEAR(Sheet1!$A1717)</f>
        <v>2024</v>
      </c>
      <c r="J1717" s="17">
        <f>DAY(Sheet1!$A1717)</f>
        <v>10</v>
      </c>
      <c r="K1717" s="18" t="s">
        <v>2022</v>
      </c>
      <c r="L1717" s="19" t="str">
        <f t="shared" si="53"/>
        <v>Premium Customer</v>
      </c>
    </row>
    <row r="1718" spans="1:12" ht="15.75" customHeight="1" x14ac:dyDescent="0.3">
      <c r="A1718" s="7">
        <v>45436</v>
      </c>
      <c r="B1718" s="8" t="s">
        <v>1806</v>
      </c>
      <c r="C1718" s="8" t="s">
        <v>8</v>
      </c>
      <c r="D1718" s="8" t="s">
        <v>14</v>
      </c>
      <c r="E1718" s="9">
        <v>20.440000000000001</v>
      </c>
      <c r="F1718" s="8" t="s">
        <v>11</v>
      </c>
      <c r="G1718" s="8">
        <v>61.32</v>
      </c>
      <c r="H1718" s="10">
        <f t="shared" si="52"/>
        <v>5</v>
      </c>
      <c r="I1718" s="10">
        <f>YEAR(Sheet1!$A1718)</f>
        <v>2024</v>
      </c>
      <c r="J1718" s="10">
        <f>DAY(Sheet1!$A1718)</f>
        <v>24</v>
      </c>
      <c r="K1718" s="12" t="s">
        <v>2022</v>
      </c>
      <c r="L1718" s="13" t="str">
        <f t="shared" si="53"/>
        <v>Premium Customer</v>
      </c>
    </row>
    <row r="1719" spans="1:12" ht="15.75" customHeight="1" x14ac:dyDescent="0.3">
      <c r="A1719" s="14">
        <v>45502</v>
      </c>
      <c r="B1719" s="15" t="s">
        <v>377</v>
      </c>
      <c r="C1719" s="15" t="s">
        <v>13</v>
      </c>
      <c r="D1719" s="15" t="s">
        <v>9</v>
      </c>
      <c r="E1719" s="16">
        <v>20.440000000000001</v>
      </c>
      <c r="F1719" s="15" t="s">
        <v>11</v>
      </c>
      <c r="G1719" s="15">
        <v>61.32</v>
      </c>
      <c r="H1719" s="17">
        <f t="shared" si="52"/>
        <v>7</v>
      </c>
      <c r="I1719" s="17">
        <f>YEAR(Sheet1!$A1719)</f>
        <v>2024</v>
      </c>
      <c r="J1719" s="17">
        <f>DAY(Sheet1!$A1719)</f>
        <v>29</v>
      </c>
      <c r="K1719" s="18" t="s">
        <v>2022</v>
      </c>
      <c r="L1719" s="19" t="str">
        <f t="shared" si="53"/>
        <v>Premium Customer</v>
      </c>
    </row>
    <row r="1720" spans="1:12" ht="15.75" customHeight="1" x14ac:dyDescent="0.3">
      <c r="A1720" s="7">
        <v>45545</v>
      </c>
      <c r="B1720" s="8" t="s">
        <v>943</v>
      </c>
      <c r="C1720" s="8" t="s">
        <v>13</v>
      </c>
      <c r="D1720" s="8" t="s">
        <v>14</v>
      </c>
      <c r="E1720" s="9">
        <v>20.46</v>
      </c>
      <c r="F1720" s="8" t="s">
        <v>11</v>
      </c>
      <c r="G1720" s="8">
        <v>61.38</v>
      </c>
      <c r="H1720" s="10">
        <f t="shared" si="52"/>
        <v>9</v>
      </c>
      <c r="I1720" s="10">
        <f>YEAR(Sheet1!$A1720)</f>
        <v>2024</v>
      </c>
      <c r="J1720" s="10">
        <f>DAY(Sheet1!$A1720)</f>
        <v>10</v>
      </c>
      <c r="K1720" s="12" t="s">
        <v>2022</v>
      </c>
      <c r="L1720" s="13" t="str">
        <f t="shared" si="53"/>
        <v>Premium Customer</v>
      </c>
    </row>
    <row r="1721" spans="1:12" ht="15.75" customHeight="1" x14ac:dyDescent="0.3">
      <c r="A1721" s="14">
        <v>45648</v>
      </c>
      <c r="B1721" s="15" t="s">
        <v>685</v>
      </c>
      <c r="C1721" s="15" t="s">
        <v>24</v>
      </c>
      <c r="D1721" s="15" t="s">
        <v>9</v>
      </c>
      <c r="E1721" s="16">
        <v>20.48</v>
      </c>
      <c r="F1721" s="15" t="s">
        <v>10</v>
      </c>
      <c r="G1721" s="15">
        <v>61.44</v>
      </c>
      <c r="H1721" s="17">
        <f t="shared" si="52"/>
        <v>12</v>
      </c>
      <c r="I1721" s="17">
        <f>YEAR(Sheet1!$A1721)</f>
        <v>2024</v>
      </c>
      <c r="J1721" s="17">
        <f>DAY(Sheet1!$A1721)</f>
        <v>22</v>
      </c>
      <c r="K1721" s="18" t="s">
        <v>2022</v>
      </c>
      <c r="L1721" s="19" t="str">
        <f t="shared" si="53"/>
        <v>Premium Customer</v>
      </c>
    </row>
    <row r="1722" spans="1:12" ht="15.75" customHeight="1" x14ac:dyDescent="0.3">
      <c r="A1722" s="7">
        <v>45420</v>
      </c>
      <c r="B1722" s="8" t="s">
        <v>68</v>
      </c>
      <c r="C1722" s="8" t="s">
        <v>8</v>
      </c>
      <c r="D1722" s="8" t="s">
        <v>9</v>
      </c>
      <c r="E1722" s="9">
        <v>20.51</v>
      </c>
      <c r="F1722" s="8" t="s">
        <v>11</v>
      </c>
      <c r="G1722" s="8">
        <v>61.53</v>
      </c>
      <c r="H1722" s="10">
        <f t="shared" si="52"/>
        <v>5</v>
      </c>
      <c r="I1722" s="10">
        <f>YEAR(Sheet1!$A1722)</f>
        <v>2024</v>
      </c>
      <c r="J1722" s="10">
        <f>DAY(Sheet1!$A1722)</f>
        <v>8</v>
      </c>
      <c r="K1722" s="12" t="s">
        <v>2022</v>
      </c>
      <c r="L1722" s="13" t="str">
        <f t="shared" si="53"/>
        <v>Premium Customer</v>
      </c>
    </row>
    <row r="1723" spans="1:12" ht="15.75" customHeight="1" x14ac:dyDescent="0.3">
      <c r="A1723" s="14">
        <v>45638</v>
      </c>
      <c r="B1723" s="15" t="s">
        <v>1580</v>
      </c>
      <c r="C1723" s="15" t="s">
        <v>13</v>
      </c>
      <c r="D1723" s="15" t="s">
        <v>16</v>
      </c>
      <c r="E1723" s="16">
        <v>20.55</v>
      </c>
      <c r="F1723" s="15" t="s">
        <v>10</v>
      </c>
      <c r="G1723" s="15">
        <v>61.65</v>
      </c>
      <c r="H1723" s="17">
        <f t="shared" si="52"/>
        <v>12</v>
      </c>
      <c r="I1723" s="17">
        <f>YEAR(Sheet1!$A1723)</f>
        <v>2024</v>
      </c>
      <c r="J1723" s="17">
        <f>DAY(Sheet1!$A1723)</f>
        <v>12</v>
      </c>
      <c r="K1723" s="18" t="s">
        <v>2022</v>
      </c>
      <c r="L1723" s="19" t="str">
        <f t="shared" si="53"/>
        <v>Premium Customer</v>
      </c>
    </row>
    <row r="1724" spans="1:12" ht="15.75" customHeight="1" x14ac:dyDescent="0.3">
      <c r="A1724" s="7">
        <v>45657</v>
      </c>
      <c r="B1724" s="8" t="s">
        <v>724</v>
      </c>
      <c r="C1724" s="8" t="s">
        <v>13</v>
      </c>
      <c r="D1724" s="8" t="s">
        <v>19</v>
      </c>
      <c r="E1724" s="9">
        <v>20.58</v>
      </c>
      <c r="F1724" s="8" t="s">
        <v>10</v>
      </c>
      <c r="G1724" s="8">
        <v>61.74</v>
      </c>
      <c r="H1724" s="10">
        <f t="shared" si="52"/>
        <v>12</v>
      </c>
      <c r="I1724" s="10">
        <f>YEAR(Sheet1!$A1724)</f>
        <v>2024</v>
      </c>
      <c r="J1724" s="10">
        <f>DAY(Sheet1!$A1724)</f>
        <v>31</v>
      </c>
      <c r="K1724" s="12" t="s">
        <v>2022</v>
      </c>
      <c r="L1724" s="13" t="str">
        <f t="shared" si="53"/>
        <v>Premium Customer</v>
      </c>
    </row>
    <row r="1725" spans="1:12" ht="15.75" customHeight="1" x14ac:dyDescent="0.3">
      <c r="A1725" s="14">
        <v>45708</v>
      </c>
      <c r="B1725" s="15" t="s">
        <v>1059</v>
      </c>
      <c r="C1725" s="15" t="s">
        <v>13</v>
      </c>
      <c r="D1725" s="15" t="s">
        <v>9</v>
      </c>
      <c r="E1725" s="16">
        <v>20.62</v>
      </c>
      <c r="F1725" s="15" t="s">
        <v>10</v>
      </c>
      <c r="G1725" s="15">
        <v>61.86</v>
      </c>
      <c r="H1725" s="17">
        <f t="shared" si="52"/>
        <v>2</v>
      </c>
      <c r="I1725" s="17">
        <f>YEAR(Sheet1!$A1725)</f>
        <v>2025</v>
      </c>
      <c r="J1725" s="17">
        <f>DAY(Sheet1!$A1725)</f>
        <v>20</v>
      </c>
      <c r="K1725" s="18" t="s">
        <v>2023</v>
      </c>
      <c r="L1725" s="19" t="str">
        <f t="shared" si="53"/>
        <v>Premium Customer</v>
      </c>
    </row>
    <row r="1726" spans="1:12" ht="15.75" customHeight="1" x14ac:dyDescent="0.3">
      <c r="A1726" s="7">
        <v>45527</v>
      </c>
      <c r="B1726" s="8" t="s">
        <v>959</v>
      </c>
      <c r="C1726" s="8" t="s">
        <v>24</v>
      </c>
      <c r="D1726" s="8" t="s">
        <v>14</v>
      </c>
      <c r="E1726" s="9">
        <v>20.66</v>
      </c>
      <c r="F1726" s="8" t="s">
        <v>11</v>
      </c>
      <c r="G1726" s="8">
        <v>61.98</v>
      </c>
      <c r="H1726" s="10">
        <f t="shared" si="52"/>
        <v>8</v>
      </c>
      <c r="I1726" s="10">
        <f>YEAR(Sheet1!$A1726)</f>
        <v>2024</v>
      </c>
      <c r="J1726" s="10">
        <f>DAY(Sheet1!$A1726)</f>
        <v>23</v>
      </c>
      <c r="K1726" s="12" t="s">
        <v>2022</v>
      </c>
      <c r="L1726" s="13" t="str">
        <f t="shared" si="53"/>
        <v>Premium Customer</v>
      </c>
    </row>
    <row r="1727" spans="1:12" ht="15.75" customHeight="1" x14ac:dyDescent="0.3">
      <c r="A1727" s="14">
        <v>45706</v>
      </c>
      <c r="B1727" s="15" t="s">
        <v>631</v>
      </c>
      <c r="C1727" s="15" t="s">
        <v>24</v>
      </c>
      <c r="D1727" s="15" t="s">
        <v>16</v>
      </c>
      <c r="E1727" s="16">
        <v>20.68</v>
      </c>
      <c r="F1727" s="15" t="s">
        <v>11</v>
      </c>
      <c r="G1727" s="15">
        <v>62.04</v>
      </c>
      <c r="H1727" s="17">
        <f t="shared" si="52"/>
        <v>2</v>
      </c>
      <c r="I1727" s="17">
        <f>YEAR(Sheet1!$A1727)</f>
        <v>2025</v>
      </c>
      <c r="J1727" s="17">
        <f>DAY(Sheet1!$A1727)</f>
        <v>18</v>
      </c>
      <c r="K1727" s="18" t="s">
        <v>2022</v>
      </c>
      <c r="L1727" s="19" t="str">
        <f t="shared" si="53"/>
        <v>Premium Customer</v>
      </c>
    </row>
    <row r="1728" spans="1:12" ht="15.75" customHeight="1" x14ac:dyDescent="0.3">
      <c r="A1728" s="7">
        <v>45559</v>
      </c>
      <c r="B1728" s="8" t="s">
        <v>1670</v>
      </c>
      <c r="C1728" s="8" t="s">
        <v>18</v>
      </c>
      <c r="D1728" s="8" t="s">
        <v>16</v>
      </c>
      <c r="E1728" s="9">
        <v>20.7</v>
      </c>
      <c r="F1728" s="8" t="s">
        <v>11</v>
      </c>
      <c r="G1728" s="8">
        <v>62.1</v>
      </c>
      <c r="H1728" s="10">
        <f t="shared" si="52"/>
        <v>9</v>
      </c>
      <c r="I1728" s="10">
        <f>YEAR(Sheet1!$A1728)</f>
        <v>2024</v>
      </c>
      <c r="J1728" s="10">
        <f>DAY(Sheet1!$A1728)</f>
        <v>24</v>
      </c>
      <c r="K1728" s="12" t="s">
        <v>2023</v>
      </c>
      <c r="L1728" s="13" t="str">
        <f t="shared" si="53"/>
        <v>Premium Customer</v>
      </c>
    </row>
    <row r="1729" spans="1:12" ht="15.75" customHeight="1" x14ac:dyDescent="0.3">
      <c r="A1729" s="14">
        <v>45616</v>
      </c>
      <c r="B1729" s="15" t="s">
        <v>1316</v>
      </c>
      <c r="C1729" s="15" t="s">
        <v>24</v>
      </c>
      <c r="D1729" s="15" t="s">
        <v>19</v>
      </c>
      <c r="E1729" s="16">
        <v>20.73</v>
      </c>
      <c r="F1729" s="15" t="s">
        <v>11</v>
      </c>
      <c r="G1729" s="15">
        <v>62.19</v>
      </c>
      <c r="H1729" s="17">
        <f t="shared" si="52"/>
        <v>11</v>
      </c>
      <c r="I1729" s="17">
        <f>YEAR(Sheet1!$A1729)</f>
        <v>2024</v>
      </c>
      <c r="J1729" s="17">
        <f>DAY(Sheet1!$A1729)</f>
        <v>20</v>
      </c>
      <c r="K1729" s="18" t="s">
        <v>2022</v>
      </c>
      <c r="L1729" s="19" t="str">
        <f t="shared" si="53"/>
        <v>Premium Customer</v>
      </c>
    </row>
    <row r="1730" spans="1:12" ht="15.75" customHeight="1" x14ac:dyDescent="0.3">
      <c r="A1730" s="7">
        <v>45441</v>
      </c>
      <c r="B1730" s="8" t="s">
        <v>1560</v>
      </c>
      <c r="C1730" s="8" t="s">
        <v>24</v>
      </c>
      <c r="D1730" s="8" t="s">
        <v>16</v>
      </c>
      <c r="E1730" s="9">
        <v>20.74</v>
      </c>
      <c r="F1730" s="8" t="s">
        <v>11</v>
      </c>
      <c r="G1730" s="8">
        <v>62.22</v>
      </c>
      <c r="H1730" s="10">
        <f t="shared" ref="H1730:H1793" si="54">MONTH(A1730)</f>
        <v>5</v>
      </c>
      <c r="I1730" s="10">
        <f>YEAR(Sheet1!$A1730)</f>
        <v>2024</v>
      </c>
      <c r="J1730" s="10">
        <f>DAY(Sheet1!$A1730)</f>
        <v>29</v>
      </c>
      <c r="K1730" s="12" t="s">
        <v>2023</v>
      </c>
      <c r="L1730" s="13" t="str">
        <f t="shared" ref="L1730:L1793" si="55">IF(G1730&gt;50,"Premium Customer","Regular Customer")</f>
        <v>Premium Customer</v>
      </c>
    </row>
    <row r="1731" spans="1:12" ht="15.75" customHeight="1" x14ac:dyDescent="0.3">
      <c r="A1731" s="14">
        <v>45497</v>
      </c>
      <c r="B1731" s="15" t="s">
        <v>574</v>
      </c>
      <c r="C1731" s="15" t="s">
        <v>18</v>
      </c>
      <c r="D1731" s="15" t="s">
        <v>19</v>
      </c>
      <c r="E1731" s="16">
        <v>20.82</v>
      </c>
      <c r="F1731" s="15" t="s">
        <v>11</v>
      </c>
      <c r="G1731" s="15">
        <v>62.46</v>
      </c>
      <c r="H1731" s="17">
        <f t="shared" si="54"/>
        <v>7</v>
      </c>
      <c r="I1731" s="17">
        <f>YEAR(Sheet1!$A1731)</f>
        <v>2024</v>
      </c>
      <c r="J1731" s="17">
        <f>DAY(Sheet1!$A1731)</f>
        <v>24</v>
      </c>
      <c r="K1731" s="18" t="s">
        <v>2023</v>
      </c>
      <c r="L1731" s="19" t="str">
        <f t="shared" si="55"/>
        <v>Premium Customer</v>
      </c>
    </row>
    <row r="1732" spans="1:12" ht="15.75" customHeight="1" x14ac:dyDescent="0.3">
      <c r="A1732" s="7">
        <v>45418</v>
      </c>
      <c r="B1732" s="8" t="s">
        <v>1361</v>
      </c>
      <c r="C1732" s="8" t="s">
        <v>13</v>
      </c>
      <c r="D1732" s="8" t="s">
        <v>16</v>
      </c>
      <c r="E1732" s="9">
        <v>20.83</v>
      </c>
      <c r="F1732" s="8" t="s">
        <v>10</v>
      </c>
      <c r="G1732" s="8">
        <v>62.49</v>
      </c>
      <c r="H1732" s="10">
        <f t="shared" si="54"/>
        <v>5</v>
      </c>
      <c r="I1732" s="10">
        <f>YEAR(Sheet1!$A1732)</f>
        <v>2024</v>
      </c>
      <c r="J1732" s="10">
        <f>DAY(Sheet1!$A1732)</f>
        <v>6</v>
      </c>
      <c r="K1732" s="12" t="s">
        <v>2022</v>
      </c>
      <c r="L1732" s="13" t="str">
        <f t="shared" si="55"/>
        <v>Premium Customer</v>
      </c>
    </row>
    <row r="1733" spans="1:12" ht="15.75" customHeight="1" x14ac:dyDescent="0.3">
      <c r="A1733" s="14">
        <v>45727</v>
      </c>
      <c r="B1733" s="15" t="s">
        <v>623</v>
      </c>
      <c r="C1733" s="15" t="s">
        <v>24</v>
      </c>
      <c r="D1733" s="15" t="s">
        <v>14</v>
      </c>
      <c r="E1733" s="16">
        <v>20.83</v>
      </c>
      <c r="F1733" s="15" t="s">
        <v>11</v>
      </c>
      <c r="G1733" s="15">
        <v>62.49</v>
      </c>
      <c r="H1733" s="17">
        <f t="shared" si="54"/>
        <v>3</v>
      </c>
      <c r="I1733" s="17">
        <f>YEAR(Sheet1!$A1733)</f>
        <v>2025</v>
      </c>
      <c r="J1733" s="17">
        <f>DAY(Sheet1!$A1733)</f>
        <v>11</v>
      </c>
      <c r="K1733" s="18" t="s">
        <v>2023</v>
      </c>
      <c r="L1733" s="19" t="str">
        <f t="shared" si="55"/>
        <v>Premium Customer</v>
      </c>
    </row>
    <row r="1734" spans="1:12" ht="15.75" customHeight="1" x14ac:dyDescent="0.3">
      <c r="A1734" s="7">
        <v>45575</v>
      </c>
      <c r="B1734" s="8" t="s">
        <v>1528</v>
      </c>
      <c r="C1734" s="8" t="s">
        <v>8</v>
      </c>
      <c r="D1734" s="8" t="s">
        <v>16</v>
      </c>
      <c r="E1734" s="9">
        <v>20.92</v>
      </c>
      <c r="F1734" s="8" t="s">
        <v>10</v>
      </c>
      <c r="G1734" s="8">
        <v>62.76</v>
      </c>
      <c r="H1734" s="10">
        <f t="shared" si="54"/>
        <v>10</v>
      </c>
      <c r="I1734" s="10">
        <f>YEAR(Sheet1!$A1734)</f>
        <v>2024</v>
      </c>
      <c r="J1734" s="10">
        <f>DAY(Sheet1!$A1734)</f>
        <v>10</v>
      </c>
      <c r="K1734" s="12" t="s">
        <v>2022</v>
      </c>
      <c r="L1734" s="13" t="str">
        <f t="shared" si="55"/>
        <v>Premium Customer</v>
      </c>
    </row>
    <row r="1735" spans="1:12" ht="15.75" customHeight="1" x14ac:dyDescent="0.3">
      <c r="A1735" s="14">
        <v>45723</v>
      </c>
      <c r="B1735" s="15" t="s">
        <v>1846</v>
      </c>
      <c r="C1735" s="15" t="s">
        <v>24</v>
      </c>
      <c r="D1735" s="15" t="s">
        <v>14</v>
      </c>
      <c r="E1735" s="16">
        <v>20.92</v>
      </c>
      <c r="F1735" s="15" t="s">
        <v>10</v>
      </c>
      <c r="G1735" s="15">
        <v>62.76</v>
      </c>
      <c r="H1735" s="17">
        <f t="shared" si="54"/>
        <v>3</v>
      </c>
      <c r="I1735" s="17">
        <f>YEAR(Sheet1!$A1735)</f>
        <v>2025</v>
      </c>
      <c r="J1735" s="17">
        <f>DAY(Sheet1!$A1735)</f>
        <v>7</v>
      </c>
      <c r="K1735" s="18" t="s">
        <v>2023</v>
      </c>
      <c r="L1735" s="19" t="str">
        <f t="shared" si="55"/>
        <v>Premium Customer</v>
      </c>
    </row>
    <row r="1736" spans="1:12" ht="15.75" customHeight="1" x14ac:dyDescent="0.3">
      <c r="A1736" s="7">
        <v>45638</v>
      </c>
      <c r="B1736" s="8" t="s">
        <v>1757</v>
      </c>
      <c r="C1736" s="8" t="s">
        <v>13</v>
      </c>
      <c r="D1736" s="8" t="s">
        <v>19</v>
      </c>
      <c r="E1736" s="9">
        <v>20.95</v>
      </c>
      <c r="F1736" s="8" t="s">
        <v>11</v>
      </c>
      <c r="G1736" s="8">
        <v>62.85</v>
      </c>
      <c r="H1736" s="10">
        <f t="shared" si="54"/>
        <v>12</v>
      </c>
      <c r="I1736" s="10">
        <f>YEAR(Sheet1!$A1736)</f>
        <v>2024</v>
      </c>
      <c r="J1736" s="10">
        <f>DAY(Sheet1!$A1736)</f>
        <v>12</v>
      </c>
      <c r="K1736" s="12" t="s">
        <v>2022</v>
      </c>
      <c r="L1736" s="13" t="str">
        <f t="shared" si="55"/>
        <v>Premium Customer</v>
      </c>
    </row>
    <row r="1737" spans="1:12" ht="15.75" customHeight="1" x14ac:dyDescent="0.3">
      <c r="A1737" s="14">
        <v>45570</v>
      </c>
      <c r="B1737" s="15" t="s">
        <v>539</v>
      </c>
      <c r="C1737" s="15" t="s">
        <v>18</v>
      </c>
      <c r="D1737" s="15" t="s">
        <v>9</v>
      </c>
      <c r="E1737" s="16">
        <v>20.96</v>
      </c>
      <c r="F1737" s="15" t="s">
        <v>10</v>
      </c>
      <c r="G1737" s="15">
        <v>62.88</v>
      </c>
      <c r="H1737" s="17">
        <f t="shared" si="54"/>
        <v>10</v>
      </c>
      <c r="I1737" s="17">
        <f>YEAR(Sheet1!$A1737)</f>
        <v>2024</v>
      </c>
      <c r="J1737" s="17">
        <f>DAY(Sheet1!$A1737)</f>
        <v>5</v>
      </c>
      <c r="K1737" s="18" t="s">
        <v>2023</v>
      </c>
      <c r="L1737" s="19" t="str">
        <f t="shared" si="55"/>
        <v>Premium Customer</v>
      </c>
    </row>
    <row r="1738" spans="1:12" ht="15.75" customHeight="1" x14ac:dyDescent="0.3">
      <c r="A1738" s="7">
        <v>45671</v>
      </c>
      <c r="B1738" s="8" t="s">
        <v>1301</v>
      </c>
      <c r="C1738" s="8" t="s">
        <v>13</v>
      </c>
      <c r="D1738" s="8" t="s">
        <v>14</v>
      </c>
      <c r="E1738" s="9">
        <v>20.96</v>
      </c>
      <c r="F1738" s="8" t="s">
        <v>11</v>
      </c>
      <c r="G1738" s="8">
        <v>62.88</v>
      </c>
      <c r="H1738" s="10">
        <f t="shared" si="54"/>
        <v>1</v>
      </c>
      <c r="I1738" s="10">
        <f>YEAR(Sheet1!$A1738)</f>
        <v>2025</v>
      </c>
      <c r="J1738" s="10">
        <f>DAY(Sheet1!$A1738)</f>
        <v>14</v>
      </c>
      <c r="K1738" s="12" t="s">
        <v>2022</v>
      </c>
      <c r="L1738" s="13" t="str">
        <f t="shared" si="55"/>
        <v>Premium Customer</v>
      </c>
    </row>
    <row r="1739" spans="1:12" ht="15.75" customHeight="1" x14ac:dyDescent="0.3">
      <c r="A1739" s="14">
        <v>45413</v>
      </c>
      <c r="B1739" s="15" t="s">
        <v>583</v>
      </c>
      <c r="C1739" s="15" t="s">
        <v>8</v>
      </c>
      <c r="D1739" s="15" t="s">
        <v>19</v>
      </c>
      <c r="E1739" s="16">
        <v>20.99</v>
      </c>
      <c r="F1739" s="15" t="s">
        <v>10</v>
      </c>
      <c r="G1739" s="15">
        <v>62.97</v>
      </c>
      <c r="H1739" s="17">
        <f t="shared" si="54"/>
        <v>5</v>
      </c>
      <c r="I1739" s="17">
        <f>YEAR(Sheet1!$A1739)</f>
        <v>2024</v>
      </c>
      <c r="J1739" s="17">
        <f>DAY(Sheet1!$A1739)</f>
        <v>1</v>
      </c>
      <c r="K1739" s="18" t="s">
        <v>2022</v>
      </c>
      <c r="L1739" s="19" t="str">
        <f t="shared" si="55"/>
        <v>Premium Customer</v>
      </c>
    </row>
    <row r="1740" spans="1:12" ht="15.75" customHeight="1" x14ac:dyDescent="0.3">
      <c r="A1740" s="7">
        <v>45657</v>
      </c>
      <c r="B1740" s="8" t="s">
        <v>924</v>
      </c>
      <c r="C1740" s="8" t="s">
        <v>18</v>
      </c>
      <c r="D1740" s="8" t="s">
        <v>16</v>
      </c>
      <c r="E1740" s="9">
        <v>20.99</v>
      </c>
      <c r="F1740" s="8" t="s">
        <v>11</v>
      </c>
      <c r="G1740" s="8">
        <v>62.97</v>
      </c>
      <c r="H1740" s="10">
        <f t="shared" si="54"/>
        <v>12</v>
      </c>
      <c r="I1740" s="10">
        <f>YEAR(Sheet1!$A1740)</f>
        <v>2024</v>
      </c>
      <c r="J1740" s="10">
        <f>DAY(Sheet1!$A1740)</f>
        <v>31</v>
      </c>
      <c r="K1740" s="12" t="s">
        <v>2022</v>
      </c>
      <c r="L1740" s="13" t="str">
        <f t="shared" si="55"/>
        <v>Premium Customer</v>
      </c>
    </row>
    <row r="1741" spans="1:12" ht="15.75" customHeight="1" x14ac:dyDescent="0.3">
      <c r="A1741" s="14">
        <v>45538</v>
      </c>
      <c r="B1741" s="15" t="s">
        <v>1619</v>
      </c>
      <c r="C1741" s="15" t="s">
        <v>18</v>
      </c>
      <c r="D1741" s="15" t="s">
        <v>16</v>
      </c>
      <c r="E1741" s="16">
        <v>21.08</v>
      </c>
      <c r="F1741" s="15" t="s">
        <v>11</v>
      </c>
      <c r="G1741" s="15">
        <v>63.24</v>
      </c>
      <c r="H1741" s="17">
        <f t="shared" si="54"/>
        <v>9</v>
      </c>
      <c r="I1741" s="17">
        <f>YEAR(Sheet1!$A1741)</f>
        <v>2024</v>
      </c>
      <c r="J1741" s="17">
        <f>DAY(Sheet1!$A1741)</f>
        <v>3</v>
      </c>
      <c r="K1741" s="18" t="s">
        <v>2023</v>
      </c>
      <c r="L1741" s="19" t="str">
        <f t="shared" si="55"/>
        <v>Premium Customer</v>
      </c>
    </row>
    <row r="1742" spans="1:12" ht="15.75" customHeight="1" x14ac:dyDescent="0.3">
      <c r="A1742" s="7">
        <v>45620</v>
      </c>
      <c r="B1742" s="8" t="s">
        <v>1197</v>
      </c>
      <c r="C1742" s="8" t="s">
        <v>13</v>
      </c>
      <c r="D1742" s="8" t="s">
        <v>16</v>
      </c>
      <c r="E1742" s="9">
        <v>21.09</v>
      </c>
      <c r="F1742" s="8" t="s">
        <v>10</v>
      </c>
      <c r="G1742" s="8">
        <v>63.27</v>
      </c>
      <c r="H1742" s="10">
        <f t="shared" si="54"/>
        <v>11</v>
      </c>
      <c r="I1742" s="10">
        <f>YEAR(Sheet1!$A1742)</f>
        <v>2024</v>
      </c>
      <c r="J1742" s="10">
        <f>DAY(Sheet1!$A1742)</f>
        <v>24</v>
      </c>
      <c r="K1742" s="12" t="s">
        <v>2022</v>
      </c>
      <c r="L1742" s="13" t="str">
        <f t="shared" si="55"/>
        <v>Premium Customer</v>
      </c>
    </row>
    <row r="1743" spans="1:12" ht="15.75" customHeight="1" x14ac:dyDescent="0.3">
      <c r="A1743" s="14">
        <v>45597</v>
      </c>
      <c r="B1743" s="15" t="s">
        <v>671</v>
      </c>
      <c r="C1743" s="15" t="s">
        <v>18</v>
      </c>
      <c r="D1743" s="15" t="s">
        <v>19</v>
      </c>
      <c r="E1743" s="16">
        <v>21.15</v>
      </c>
      <c r="F1743" s="15" t="s">
        <v>10</v>
      </c>
      <c r="G1743" s="15">
        <v>63.45</v>
      </c>
      <c r="H1743" s="17">
        <f t="shared" si="54"/>
        <v>11</v>
      </c>
      <c r="I1743" s="17">
        <f>YEAR(Sheet1!$A1743)</f>
        <v>2024</v>
      </c>
      <c r="J1743" s="17">
        <f>DAY(Sheet1!$A1743)</f>
        <v>1</v>
      </c>
      <c r="K1743" s="18" t="s">
        <v>2022</v>
      </c>
      <c r="L1743" s="19" t="str">
        <f t="shared" si="55"/>
        <v>Premium Customer</v>
      </c>
    </row>
    <row r="1744" spans="1:12" ht="15.75" customHeight="1" x14ac:dyDescent="0.3">
      <c r="A1744" s="7">
        <v>45679</v>
      </c>
      <c r="B1744" s="8" t="s">
        <v>1423</v>
      </c>
      <c r="C1744" s="8" t="s">
        <v>24</v>
      </c>
      <c r="D1744" s="8" t="s">
        <v>19</v>
      </c>
      <c r="E1744" s="9">
        <v>21.16</v>
      </c>
      <c r="F1744" s="8" t="s">
        <v>10</v>
      </c>
      <c r="G1744" s="8">
        <v>63.48</v>
      </c>
      <c r="H1744" s="10">
        <f t="shared" si="54"/>
        <v>1</v>
      </c>
      <c r="I1744" s="10">
        <f>YEAR(Sheet1!$A1744)</f>
        <v>2025</v>
      </c>
      <c r="J1744" s="10">
        <f>DAY(Sheet1!$A1744)</f>
        <v>22</v>
      </c>
      <c r="K1744" s="12" t="s">
        <v>2023</v>
      </c>
      <c r="L1744" s="13" t="str">
        <f t="shared" si="55"/>
        <v>Premium Customer</v>
      </c>
    </row>
    <row r="1745" spans="1:12" ht="15.75" customHeight="1" x14ac:dyDescent="0.3">
      <c r="A1745" s="14">
        <v>45572</v>
      </c>
      <c r="B1745" s="15" t="s">
        <v>1415</v>
      </c>
      <c r="C1745" s="15" t="s">
        <v>8</v>
      </c>
      <c r="D1745" s="15" t="s">
        <v>9</v>
      </c>
      <c r="E1745" s="16">
        <v>21.17</v>
      </c>
      <c r="F1745" s="15" t="s">
        <v>11</v>
      </c>
      <c r="G1745" s="15">
        <v>63.51</v>
      </c>
      <c r="H1745" s="17">
        <f t="shared" si="54"/>
        <v>10</v>
      </c>
      <c r="I1745" s="17">
        <f>YEAR(Sheet1!$A1745)</f>
        <v>2024</v>
      </c>
      <c r="J1745" s="17">
        <f>DAY(Sheet1!$A1745)</f>
        <v>7</v>
      </c>
      <c r="K1745" s="18" t="s">
        <v>2022</v>
      </c>
      <c r="L1745" s="19" t="str">
        <f t="shared" si="55"/>
        <v>Premium Customer</v>
      </c>
    </row>
    <row r="1746" spans="1:12" ht="15.75" customHeight="1" x14ac:dyDescent="0.3">
      <c r="A1746" s="7">
        <v>45776</v>
      </c>
      <c r="B1746" s="8" t="s">
        <v>1471</v>
      </c>
      <c r="C1746" s="8" t="s">
        <v>24</v>
      </c>
      <c r="D1746" s="8" t="s">
        <v>19</v>
      </c>
      <c r="E1746" s="9">
        <v>21.19</v>
      </c>
      <c r="F1746" s="8" t="s">
        <v>10</v>
      </c>
      <c r="G1746" s="8">
        <v>63.57</v>
      </c>
      <c r="H1746" s="10">
        <f t="shared" si="54"/>
        <v>4</v>
      </c>
      <c r="I1746" s="10">
        <f>YEAR(Sheet1!$A1746)</f>
        <v>2025</v>
      </c>
      <c r="J1746" s="10">
        <f>DAY(Sheet1!$A1746)</f>
        <v>29</v>
      </c>
      <c r="K1746" s="12" t="s">
        <v>2023</v>
      </c>
      <c r="L1746" s="13" t="str">
        <f t="shared" si="55"/>
        <v>Premium Customer</v>
      </c>
    </row>
    <row r="1747" spans="1:12" ht="15.75" customHeight="1" x14ac:dyDescent="0.3">
      <c r="A1747" s="14">
        <v>45625</v>
      </c>
      <c r="B1747" s="15" t="s">
        <v>841</v>
      </c>
      <c r="C1747" s="15" t="s">
        <v>18</v>
      </c>
      <c r="D1747" s="15" t="s">
        <v>16</v>
      </c>
      <c r="E1747" s="16">
        <v>21.2</v>
      </c>
      <c r="F1747" s="15" t="s">
        <v>11</v>
      </c>
      <c r="G1747" s="15">
        <v>63.6</v>
      </c>
      <c r="H1747" s="17">
        <f t="shared" si="54"/>
        <v>11</v>
      </c>
      <c r="I1747" s="17">
        <f>YEAR(Sheet1!$A1747)</f>
        <v>2024</v>
      </c>
      <c r="J1747" s="17">
        <f>DAY(Sheet1!$A1747)</f>
        <v>29</v>
      </c>
      <c r="K1747" s="18" t="s">
        <v>2023</v>
      </c>
      <c r="L1747" s="19" t="str">
        <f t="shared" si="55"/>
        <v>Premium Customer</v>
      </c>
    </row>
    <row r="1748" spans="1:12" ht="15.75" customHeight="1" x14ac:dyDescent="0.3">
      <c r="A1748" s="7">
        <v>45711</v>
      </c>
      <c r="B1748" s="8" t="s">
        <v>1090</v>
      </c>
      <c r="C1748" s="8" t="s">
        <v>8</v>
      </c>
      <c r="D1748" s="8" t="s">
        <v>16</v>
      </c>
      <c r="E1748" s="9">
        <v>21.21</v>
      </c>
      <c r="F1748" s="8" t="s">
        <v>10</v>
      </c>
      <c r="G1748" s="8">
        <v>63.63</v>
      </c>
      <c r="H1748" s="10">
        <f t="shared" si="54"/>
        <v>2</v>
      </c>
      <c r="I1748" s="10">
        <f>YEAR(Sheet1!$A1748)</f>
        <v>2025</v>
      </c>
      <c r="J1748" s="10">
        <f>DAY(Sheet1!$A1748)</f>
        <v>23</v>
      </c>
      <c r="K1748" s="12" t="s">
        <v>2022</v>
      </c>
      <c r="L1748" s="13" t="str">
        <f t="shared" si="55"/>
        <v>Premium Customer</v>
      </c>
    </row>
    <row r="1749" spans="1:12" ht="15.75" customHeight="1" x14ac:dyDescent="0.3">
      <c r="A1749" s="14">
        <v>45688</v>
      </c>
      <c r="B1749" s="15" t="s">
        <v>1213</v>
      </c>
      <c r="C1749" s="15" t="s">
        <v>24</v>
      </c>
      <c r="D1749" s="15" t="s">
        <v>16</v>
      </c>
      <c r="E1749" s="16">
        <v>21.24</v>
      </c>
      <c r="F1749" s="15" t="s">
        <v>10</v>
      </c>
      <c r="G1749" s="15">
        <v>63.72</v>
      </c>
      <c r="H1749" s="17">
        <f t="shared" si="54"/>
        <v>1</v>
      </c>
      <c r="I1749" s="17">
        <f>YEAR(Sheet1!$A1749)</f>
        <v>2025</v>
      </c>
      <c r="J1749" s="17">
        <f>DAY(Sheet1!$A1749)</f>
        <v>31</v>
      </c>
      <c r="K1749" s="18" t="s">
        <v>2023</v>
      </c>
      <c r="L1749" s="19" t="str">
        <f t="shared" si="55"/>
        <v>Premium Customer</v>
      </c>
    </row>
    <row r="1750" spans="1:12" ht="15.75" customHeight="1" x14ac:dyDescent="0.3">
      <c r="A1750" s="7">
        <v>45603</v>
      </c>
      <c r="B1750" s="8" t="s">
        <v>1875</v>
      </c>
      <c r="C1750" s="8" t="s">
        <v>13</v>
      </c>
      <c r="D1750" s="8" t="s">
        <v>14</v>
      </c>
      <c r="E1750" s="9">
        <v>21.25</v>
      </c>
      <c r="F1750" s="8" t="s">
        <v>11</v>
      </c>
      <c r="G1750" s="8">
        <v>63.75</v>
      </c>
      <c r="H1750" s="10">
        <f t="shared" si="54"/>
        <v>11</v>
      </c>
      <c r="I1750" s="10">
        <f>YEAR(Sheet1!$A1750)</f>
        <v>2024</v>
      </c>
      <c r="J1750" s="10">
        <f>DAY(Sheet1!$A1750)</f>
        <v>7</v>
      </c>
      <c r="K1750" s="12" t="s">
        <v>2022</v>
      </c>
      <c r="L1750" s="13" t="str">
        <f t="shared" si="55"/>
        <v>Premium Customer</v>
      </c>
    </row>
    <row r="1751" spans="1:12" ht="15.75" customHeight="1" x14ac:dyDescent="0.3">
      <c r="A1751" s="14">
        <v>45771</v>
      </c>
      <c r="B1751" s="15" t="s">
        <v>319</v>
      </c>
      <c r="C1751" s="15" t="s">
        <v>8</v>
      </c>
      <c r="D1751" s="15" t="s">
        <v>19</v>
      </c>
      <c r="E1751" s="16">
        <v>21.29</v>
      </c>
      <c r="F1751" s="15" t="s">
        <v>11</v>
      </c>
      <c r="G1751" s="15">
        <v>63.87</v>
      </c>
      <c r="H1751" s="17">
        <f t="shared" si="54"/>
        <v>4</v>
      </c>
      <c r="I1751" s="17">
        <f>YEAR(Sheet1!$A1751)</f>
        <v>2025</v>
      </c>
      <c r="J1751" s="17">
        <f>DAY(Sheet1!$A1751)</f>
        <v>24</v>
      </c>
      <c r="K1751" s="18" t="s">
        <v>2023</v>
      </c>
      <c r="L1751" s="19" t="str">
        <f t="shared" si="55"/>
        <v>Premium Customer</v>
      </c>
    </row>
    <row r="1752" spans="1:12" ht="15.75" customHeight="1" x14ac:dyDescent="0.3">
      <c r="A1752" s="7">
        <v>45654</v>
      </c>
      <c r="B1752" s="8" t="s">
        <v>361</v>
      </c>
      <c r="C1752" s="8" t="s">
        <v>18</v>
      </c>
      <c r="D1752" s="8" t="s">
        <v>19</v>
      </c>
      <c r="E1752" s="9">
        <v>21.34</v>
      </c>
      <c r="F1752" s="8" t="s">
        <v>10</v>
      </c>
      <c r="G1752" s="8">
        <v>64.02</v>
      </c>
      <c r="H1752" s="10">
        <f t="shared" si="54"/>
        <v>12</v>
      </c>
      <c r="I1752" s="10">
        <f>YEAR(Sheet1!$A1752)</f>
        <v>2024</v>
      </c>
      <c r="J1752" s="10">
        <f>DAY(Sheet1!$A1752)</f>
        <v>28</v>
      </c>
      <c r="K1752" s="12" t="s">
        <v>2023</v>
      </c>
      <c r="L1752" s="13" t="str">
        <f t="shared" si="55"/>
        <v>Premium Customer</v>
      </c>
    </row>
    <row r="1753" spans="1:12" ht="15.75" customHeight="1" x14ac:dyDescent="0.3">
      <c r="A1753" s="14">
        <v>45697</v>
      </c>
      <c r="B1753" s="15" t="s">
        <v>1425</v>
      </c>
      <c r="C1753" s="15" t="s">
        <v>18</v>
      </c>
      <c r="D1753" s="15" t="s">
        <v>19</v>
      </c>
      <c r="E1753" s="16">
        <v>21.34</v>
      </c>
      <c r="F1753" s="15" t="s">
        <v>11</v>
      </c>
      <c r="G1753" s="15">
        <v>64.02</v>
      </c>
      <c r="H1753" s="17">
        <f t="shared" si="54"/>
        <v>2</v>
      </c>
      <c r="I1753" s="17">
        <f>YEAR(Sheet1!$A1753)</f>
        <v>2025</v>
      </c>
      <c r="J1753" s="17">
        <f>DAY(Sheet1!$A1753)</f>
        <v>9</v>
      </c>
      <c r="K1753" s="18" t="s">
        <v>2023</v>
      </c>
      <c r="L1753" s="19" t="str">
        <f t="shared" si="55"/>
        <v>Premium Customer</v>
      </c>
    </row>
    <row r="1754" spans="1:12" ht="15.75" customHeight="1" x14ac:dyDescent="0.3">
      <c r="A1754" s="7">
        <v>45519</v>
      </c>
      <c r="B1754" s="8" t="s">
        <v>1328</v>
      </c>
      <c r="C1754" s="8" t="s">
        <v>18</v>
      </c>
      <c r="D1754" s="8" t="s">
        <v>14</v>
      </c>
      <c r="E1754" s="9">
        <v>21.35</v>
      </c>
      <c r="F1754" s="8" t="s">
        <v>11</v>
      </c>
      <c r="G1754" s="8">
        <v>64.05</v>
      </c>
      <c r="H1754" s="10">
        <f t="shared" si="54"/>
        <v>8</v>
      </c>
      <c r="I1754" s="10">
        <f>YEAR(Sheet1!$A1754)</f>
        <v>2024</v>
      </c>
      <c r="J1754" s="10">
        <f>DAY(Sheet1!$A1754)</f>
        <v>15</v>
      </c>
      <c r="K1754" s="12" t="s">
        <v>2023</v>
      </c>
      <c r="L1754" s="13" t="str">
        <f t="shared" si="55"/>
        <v>Premium Customer</v>
      </c>
    </row>
    <row r="1755" spans="1:12" ht="15.75" customHeight="1" x14ac:dyDescent="0.3">
      <c r="A1755" s="14">
        <v>45544</v>
      </c>
      <c r="B1755" s="15" t="s">
        <v>87</v>
      </c>
      <c r="C1755" s="15" t="s">
        <v>18</v>
      </c>
      <c r="D1755" s="15" t="s">
        <v>9</v>
      </c>
      <c r="E1755" s="16">
        <v>21.36</v>
      </c>
      <c r="F1755" s="15" t="s">
        <v>11</v>
      </c>
      <c r="G1755" s="15">
        <v>64.08</v>
      </c>
      <c r="H1755" s="17">
        <f t="shared" si="54"/>
        <v>9</v>
      </c>
      <c r="I1755" s="17">
        <f>YEAR(Sheet1!$A1755)</f>
        <v>2024</v>
      </c>
      <c r="J1755" s="17">
        <f>DAY(Sheet1!$A1755)</f>
        <v>9</v>
      </c>
      <c r="K1755" s="18" t="s">
        <v>2023</v>
      </c>
      <c r="L1755" s="19" t="str">
        <f t="shared" si="55"/>
        <v>Premium Customer</v>
      </c>
    </row>
    <row r="1756" spans="1:12" ht="15.75" customHeight="1" x14ac:dyDescent="0.3">
      <c r="A1756" s="7">
        <v>45429</v>
      </c>
      <c r="B1756" s="8" t="s">
        <v>1333</v>
      </c>
      <c r="C1756" s="8" t="s">
        <v>18</v>
      </c>
      <c r="D1756" s="8" t="s">
        <v>9</v>
      </c>
      <c r="E1756" s="9">
        <v>21.4</v>
      </c>
      <c r="F1756" s="8" t="s">
        <v>10</v>
      </c>
      <c r="G1756" s="8">
        <v>64.2</v>
      </c>
      <c r="H1756" s="10">
        <f t="shared" si="54"/>
        <v>5</v>
      </c>
      <c r="I1756" s="10">
        <f>YEAR(Sheet1!$A1756)</f>
        <v>2024</v>
      </c>
      <c r="J1756" s="10">
        <f>DAY(Sheet1!$A1756)</f>
        <v>17</v>
      </c>
      <c r="K1756" s="12" t="s">
        <v>2023</v>
      </c>
      <c r="L1756" s="13" t="str">
        <f t="shared" si="55"/>
        <v>Premium Customer</v>
      </c>
    </row>
    <row r="1757" spans="1:12" ht="15.75" customHeight="1" x14ac:dyDescent="0.3">
      <c r="A1757" s="14">
        <v>45540</v>
      </c>
      <c r="B1757" s="15" t="s">
        <v>1508</v>
      </c>
      <c r="C1757" s="15" t="s">
        <v>8</v>
      </c>
      <c r="D1757" s="15" t="s">
        <v>16</v>
      </c>
      <c r="E1757" s="16">
        <v>21.46</v>
      </c>
      <c r="F1757" s="15" t="s">
        <v>10</v>
      </c>
      <c r="G1757" s="15">
        <v>64.38</v>
      </c>
      <c r="H1757" s="17">
        <f t="shared" si="54"/>
        <v>9</v>
      </c>
      <c r="I1757" s="17">
        <f>YEAR(Sheet1!$A1757)</f>
        <v>2024</v>
      </c>
      <c r="J1757" s="17">
        <f>DAY(Sheet1!$A1757)</f>
        <v>5</v>
      </c>
      <c r="K1757" s="18" t="s">
        <v>2022</v>
      </c>
      <c r="L1757" s="19" t="str">
        <f t="shared" si="55"/>
        <v>Premium Customer</v>
      </c>
    </row>
    <row r="1758" spans="1:12" ht="15.75" customHeight="1" x14ac:dyDescent="0.3">
      <c r="A1758" s="7">
        <v>45719</v>
      </c>
      <c r="B1758" s="8" t="s">
        <v>438</v>
      </c>
      <c r="C1758" s="8" t="s">
        <v>13</v>
      </c>
      <c r="D1758" s="8" t="s">
        <v>16</v>
      </c>
      <c r="E1758" s="9">
        <v>21.46</v>
      </c>
      <c r="F1758" s="8" t="s">
        <v>10</v>
      </c>
      <c r="G1758" s="8">
        <v>64.38</v>
      </c>
      <c r="H1758" s="10">
        <f t="shared" si="54"/>
        <v>3</v>
      </c>
      <c r="I1758" s="10">
        <f>YEAR(Sheet1!$A1758)</f>
        <v>2025</v>
      </c>
      <c r="J1758" s="10">
        <f>DAY(Sheet1!$A1758)</f>
        <v>3</v>
      </c>
      <c r="K1758" s="12" t="s">
        <v>2022</v>
      </c>
      <c r="L1758" s="13" t="str">
        <f t="shared" si="55"/>
        <v>Premium Customer</v>
      </c>
    </row>
    <row r="1759" spans="1:12" ht="15.75" customHeight="1" x14ac:dyDescent="0.3">
      <c r="A1759" s="14">
        <v>45610</v>
      </c>
      <c r="B1759" s="15" t="s">
        <v>59</v>
      </c>
      <c r="C1759" s="15" t="s">
        <v>8</v>
      </c>
      <c r="D1759" s="15" t="s">
        <v>9</v>
      </c>
      <c r="E1759" s="16">
        <v>21.5</v>
      </c>
      <c r="F1759" s="15" t="s">
        <v>10</v>
      </c>
      <c r="G1759" s="15">
        <v>64.5</v>
      </c>
      <c r="H1759" s="17">
        <f t="shared" si="54"/>
        <v>11</v>
      </c>
      <c r="I1759" s="17">
        <f>YEAR(Sheet1!$A1759)</f>
        <v>2024</v>
      </c>
      <c r="J1759" s="17">
        <f>DAY(Sheet1!$A1759)</f>
        <v>14</v>
      </c>
      <c r="K1759" s="18" t="s">
        <v>2022</v>
      </c>
      <c r="L1759" s="19" t="str">
        <f t="shared" si="55"/>
        <v>Premium Customer</v>
      </c>
    </row>
    <row r="1760" spans="1:12" ht="15.75" customHeight="1" x14ac:dyDescent="0.3">
      <c r="A1760" s="7">
        <v>45747</v>
      </c>
      <c r="B1760" s="8" t="s">
        <v>677</v>
      </c>
      <c r="C1760" s="8" t="s">
        <v>18</v>
      </c>
      <c r="D1760" s="8" t="s">
        <v>16</v>
      </c>
      <c r="E1760" s="9">
        <v>21.63</v>
      </c>
      <c r="F1760" s="8" t="s">
        <v>11</v>
      </c>
      <c r="G1760" s="8">
        <v>64.89</v>
      </c>
      <c r="H1760" s="10">
        <f t="shared" si="54"/>
        <v>3</v>
      </c>
      <c r="I1760" s="10">
        <f>YEAR(Sheet1!$A1760)</f>
        <v>2025</v>
      </c>
      <c r="J1760" s="10">
        <f>DAY(Sheet1!$A1760)</f>
        <v>31</v>
      </c>
      <c r="K1760" s="12" t="s">
        <v>2022</v>
      </c>
      <c r="L1760" s="13" t="str">
        <f t="shared" si="55"/>
        <v>Premium Customer</v>
      </c>
    </row>
    <row r="1761" spans="1:12" ht="15.75" customHeight="1" x14ac:dyDescent="0.3">
      <c r="A1761" s="14">
        <v>45474</v>
      </c>
      <c r="B1761" s="15" t="s">
        <v>1239</v>
      </c>
      <c r="C1761" s="15" t="s">
        <v>8</v>
      </c>
      <c r="D1761" s="15" t="s">
        <v>16</v>
      </c>
      <c r="E1761" s="16">
        <v>21.64</v>
      </c>
      <c r="F1761" s="15" t="s">
        <v>11</v>
      </c>
      <c r="G1761" s="15">
        <v>64.92</v>
      </c>
      <c r="H1761" s="17">
        <f t="shared" si="54"/>
        <v>7</v>
      </c>
      <c r="I1761" s="17">
        <f>YEAR(Sheet1!$A1761)</f>
        <v>2024</v>
      </c>
      <c r="J1761" s="17">
        <f>DAY(Sheet1!$A1761)</f>
        <v>1</v>
      </c>
      <c r="K1761" s="18" t="s">
        <v>2022</v>
      </c>
      <c r="L1761" s="19" t="str">
        <f t="shared" si="55"/>
        <v>Premium Customer</v>
      </c>
    </row>
    <row r="1762" spans="1:12" ht="15.75" customHeight="1" x14ac:dyDescent="0.3">
      <c r="A1762" s="7">
        <v>45596</v>
      </c>
      <c r="B1762" s="8" t="s">
        <v>1218</v>
      </c>
      <c r="C1762" s="8" t="s">
        <v>13</v>
      </c>
      <c r="D1762" s="8" t="s">
        <v>16</v>
      </c>
      <c r="E1762" s="9">
        <v>21.64</v>
      </c>
      <c r="F1762" s="8" t="s">
        <v>10</v>
      </c>
      <c r="G1762" s="8">
        <v>64.92</v>
      </c>
      <c r="H1762" s="10">
        <f t="shared" si="54"/>
        <v>10</v>
      </c>
      <c r="I1762" s="10">
        <f>YEAR(Sheet1!$A1762)</f>
        <v>2024</v>
      </c>
      <c r="J1762" s="10">
        <f>DAY(Sheet1!$A1762)</f>
        <v>31</v>
      </c>
      <c r="K1762" s="12" t="s">
        <v>2022</v>
      </c>
      <c r="L1762" s="13" t="str">
        <f t="shared" si="55"/>
        <v>Premium Customer</v>
      </c>
    </row>
    <row r="1763" spans="1:12" ht="15.75" customHeight="1" x14ac:dyDescent="0.3">
      <c r="A1763" s="14">
        <v>45525</v>
      </c>
      <c r="B1763" s="15" t="s">
        <v>858</v>
      </c>
      <c r="C1763" s="15" t="s">
        <v>24</v>
      </c>
      <c r="D1763" s="15" t="s">
        <v>16</v>
      </c>
      <c r="E1763" s="16">
        <v>21.65</v>
      </c>
      <c r="F1763" s="15" t="s">
        <v>11</v>
      </c>
      <c r="G1763" s="15">
        <v>64.95</v>
      </c>
      <c r="H1763" s="17">
        <f t="shared" si="54"/>
        <v>8</v>
      </c>
      <c r="I1763" s="17">
        <f>YEAR(Sheet1!$A1763)</f>
        <v>2024</v>
      </c>
      <c r="J1763" s="17">
        <f>DAY(Sheet1!$A1763)</f>
        <v>21</v>
      </c>
      <c r="K1763" s="18" t="s">
        <v>2023</v>
      </c>
      <c r="L1763" s="19" t="str">
        <f t="shared" si="55"/>
        <v>Premium Customer</v>
      </c>
    </row>
    <row r="1764" spans="1:12" ht="15.75" customHeight="1" x14ac:dyDescent="0.3">
      <c r="A1764" s="7">
        <v>45663</v>
      </c>
      <c r="B1764" s="8" t="s">
        <v>402</v>
      </c>
      <c r="C1764" s="8" t="s">
        <v>24</v>
      </c>
      <c r="D1764" s="8" t="s">
        <v>9</v>
      </c>
      <c r="E1764" s="9">
        <v>21.67</v>
      </c>
      <c r="F1764" s="8" t="s">
        <v>11</v>
      </c>
      <c r="G1764" s="8">
        <v>65.010000000000005</v>
      </c>
      <c r="H1764" s="10">
        <f t="shared" si="54"/>
        <v>1</v>
      </c>
      <c r="I1764" s="10">
        <f>YEAR(Sheet1!$A1764)</f>
        <v>2025</v>
      </c>
      <c r="J1764" s="10">
        <f>DAY(Sheet1!$A1764)</f>
        <v>6</v>
      </c>
      <c r="K1764" s="12" t="s">
        <v>2022</v>
      </c>
      <c r="L1764" s="13" t="str">
        <f t="shared" si="55"/>
        <v>Premium Customer</v>
      </c>
    </row>
    <row r="1765" spans="1:12" ht="15.75" customHeight="1" x14ac:dyDescent="0.3">
      <c r="A1765" s="14">
        <v>45445</v>
      </c>
      <c r="B1765" s="15" t="s">
        <v>777</v>
      </c>
      <c r="C1765" s="15" t="s">
        <v>24</v>
      </c>
      <c r="D1765" s="15" t="s">
        <v>19</v>
      </c>
      <c r="E1765" s="16">
        <v>21.74</v>
      </c>
      <c r="F1765" s="15" t="s">
        <v>10</v>
      </c>
      <c r="G1765" s="15">
        <v>65.22</v>
      </c>
      <c r="H1765" s="17">
        <f t="shared" si="54"/>
        <v>6</v>
      </c>
      <c r="I1765" s="17">
        <f>YEAR(Sheet1!$A1765)</f>
        <v>2024</v>
      </c>
      <c r="J1765" s="17">
        <f>DAY(Sheet1!$A1765)</f>
        <v>2</v>
      </c>
      <c r="K1765" s="18" t="s">
        <v>2023</v>
      </c>
      <c r="L1765" s="19" t="str">
        <f t="shared" si="55"/>
        <v>Premium Customer</v>
      </c>
    </row>
    <row r="1766" spans="1:12" ht="15.75" customHeight="1" x14ac:dyDescent="0.3">
      <c r="A1766" s="7">
        <v>45558</v>
      </c>
      <c r="B1766" s="8" t="s">
        <v>1921</v>
      </c>
      <c r="C1766" s="8" t="s">
        <v>24</v>
      </c>
      <c r="D1766" s="8" t="s">
        <v>14</v>
      </c>
      <c r="E1766" s="9">
        <v>21.74</v>
      </c>
      <c r="F1766" s="8" t="s">
        <v>10</v>
      </c>
      <c r="G1766" s="8">
        <v>65.22</v>
      </c>
      <c r="H1766" s="10">
        <f t="shared" si="54"/>
        <v>9</v>
      </c>
      <c r="I1766" s="10">
        <f>YEAR(Sheet1!$A1766)</f>
        <v>2024</v>
      </c>
      <c r="J1766" s="10">
        <f>DAY(Sheet1!$A1766)</f>
        <v>23</v>
      </c>
      <c r="K1766" s="12" t="s">
        <v>2023</v>
      </c>
      <c r="L1766" s="13" t="str">
        <f t="shared" si="55"/>
        <v>Premium Customer</v>
      </c>
    </row>
    <row r="1767" spans="1:12" ht="15.75" customHeight="1" x14ac:dyDescent="0.3">
      <c r="A1767" s="14">
        <v>45769</v>
      </c>
      <c r="B1767" s="15" t="s">
        <v>1034</v>
      </c>
      <c r="C1767" s="15" t="s">
        <v>24</v>
      </c>
      <c r="D1767" s="15" t="s">
        <v>9</v>
      </c>
      <c r="E1767" s="16">
        <v>21.74</v>
      </c>
      <c r="F1767" s="15" t="s">
        <v>11</v>
      </c>
      <c r="G1767" s="15">
        <v>65.22</v>
      </c>
      <c r="H1767" s="17">
        <f t="shared" si="54"/>
        <v>4</v>
      </c>
      <c r="I1767" s="17">
        <f>YEAR(Sheet1!$A1767)</f>
        <v>2025</v>
      </c>
      <c r="J1767" s="17">
        <f>DAY(Sheet1!$A1767)</f>
        <v>22</v>
      </c>
      <c r="K1767" s="18" t="s">
        <v>2023</v>
      </c>
      <c r="L1767" s="19" t="str">
        <f t="shared" si="55"/>
        <v>Premium Customer</v>
      </c>
    </row>
    <row r="1768" spans="1:12" ht="15.75" customHeight="1" x14ac:dyDescent="0.3">
      <c r="A1768" s="7">
        <v>45556</v>
      </c>
      <c r="B1768" s="8" t="s">
        <v>362</v>
      </c>
      <c r="C1768" s="8" t="s">
        <v>18</v>
      </c>
      <c r="D1768" s="8" t="s">
        <v>14</v>
      </c>
      <c r="E1768" s="9">
        <v>21.78</v>
      </c>
      <c r="F1768" s="8" t="s">
        <v>11</v>
      </c>
      <c r="G1768" s="8">
        <v>65.34</v>
      </c>
      <c r="H1768" s="10">
        <f t="shared" si="54"/>
        <v>9</v>
      </c>
      <c r="I1768" s="10">
        <f>YEAR(Sheet1!$A1768)</f>
        <v>2024</v>
      </c>
      <c r="J1768" s="10">
        <f>DAY(Sheet1!$A1768)</f>
        <v>21</v>
      </c>
      <c r="K1768" s="12" t="s">
        <v>2022</v>
      </c>
      <c r="L1768" s="13" t="str">
        <f t="shared" si="55"/>
        <v>Premium Customer</v>
      </c>
    </row>
    <row r="1769" spans="1:12" ht="15.75" customHeight="1" x14ac:dyDescent="0.3">
      <c r="A1769" s="14">
        <v>45507</v>
      </c>
      <c r="B1769" s="15" t="s">
        <v>490</v>
      </c>
      <c r="C1769" s="15" t="s">
        <v>24</v>
      </c>
      <c r="D1769" s="15" t="s">
        <v>16</v>
      </c>
      <c r="E1769" s="16">
        <v>21.81</v>
      </c>
      <c r="F1769" s="15" t="s">
        <v>11</v>
      </c>
      <c r="G1769" s="15">
        <v>65.430000000000007</v>
      </c>
      <c r="H1769" s="17">
        <f t="shared" si="54"/>
        <v>8</v>
      </c>
      <c r="I1769" s="17">
        <f>YEAR(Sheet1!$A1769)</f>
        <v>2024</v>
      </c>
      <c r="J1769" s="17">
        <f>DAY(Sheet1!$A1769)</f>
        <v>3</v>
      </c>
      <c r="K1769" s="18" t="s">
        <v>2022</v>
      </c>
      <c r="L1769" s="19" t="str">
        <f t="shared" si="55"/>
        <v>Premium Customer</v>
      </c>
    </row>
    <row r="1770" spans="1:12" ht="15.75" customHeight="1" x14ac:dyDescent="0.3">
      <c r="A1770" s="7">
        <v>45731</v>
      </c>
      <c r="B1770" s="8" t="s">
        <v>1180</v>
      </c>
      <c r="C1770" s="8" t="s">
        <v>13</v>
      </c>
      <c r="D1770" s="8" t="s">
        <v>9</v>
      </c>
      <c r="E1770" s="9">
        <v>21.84</v>
      </c>
      <c r="F1770" s="8" t="s">
        <v>11</v>
      </c>
      <c r="G1770" s="8">
        <v>65.52</v>
      </c>
      <c r="H1770" s="10">
        <f t="shared" si="54"/>
        <v>3</v>
      </c>
      <c r="I1770" s="10">
        <f>YEAR(Sheet1!$A1770)</f>
        <v>2025</v>
      </c>
      <c r="J1770" s="10">
        <f>DAY(Sheet1!$A1770)</f>
        <v>15</v>
      </c>
      <c r="K1770" s="12" t="s">
        <v>2022</v>
      </c>
      <c r="L1770" s="13" t="str">
        <f t="shared" si="55"/>
        <v>Premium Customer</v>
      </c>
    </row>
    <row r="1771" spans="1:12" ht="15.75" customHeight="1" x14ac:dyDescent="0.3">
      <c r="A1771" s="14">
        <v>45476</v>
      </c>
      <c r="B1771" s="15" t="s">
        <v>846</v>
      </c>
      <c r="C1771" s="15" t="s">
        <v>18</v>
      </c>
      <c r="D1771" s="15" t="s">
        <v>16</v>
      </c>
      <c r="E1771" s="16">
        <v>21.87</v>
      </c>
      <c r="F1771" s="15" t="s">
        <v>10</v>
      </c>
      <c r="G1771" s="15">
        <v>65.61</v>
      </c>
      <c r="H1771" s="17">
        <f t="shared" si="54"/>
        <v>7</v>
      </c>
      <c r="I1771" s="17">
        <f>YEAR(Sheet1!$A1771)</f>
        <v>2024</v>
      </c>
      <c r="J1771" s="17">
        <f>DAY(Sheet1!$A1771)</f>
        <v>3</v>
      </c>
      <c r="K1771" s="18" t="s">
        <v>2023</v>
      </c>
      <c r="L1771" s="19" t="str">
        <f t="shared" si="55"/>
        <v>Premium Customer</v>
      </c>
    </row>
    <row r="1772" spans="1:12" ht="15.75" customHeight="1" x14ac:dyDescent="0.3">
      <c r="A1772" s="7">
        <v>45769</v>
      </c>
      <c r="B1772" s="8" t="s">
        <v>495</v>
      </c>
      <c r="C1772" s="8" t="s">
        <v>13</v>
      </c>
      <c r="D1772" s="8" t="s">
        <v>19</v>
      </c>
      <c r="E1772" s="9">
        <v>21.95</v>
      </c>
      <c r="F1772" s="8" t="s">
        <v>11</v>
      </c>
      <c r="G1772" s="8">
        <v>65.849999999999994</v>
      </c>
      <c r="H1772" s="10">
        <f t="shared" si="54"/>
        <v>4</v>
      </c>
      <c r="I1772" s="10">
        <f>YEAR(Sheet1!$A1772)</f>
        <v>2025</v>
      </c>
      <c r="J1772" s="10">
        <f>DAY(Sheet1!$A1772)</f>
        <v>22</v>
      </c>
      <c r="K1772" s="12" t="s">
        <v>2022</v>
      </c>
      <c r="L1772" s="13" t="str">
        <f t="shared" si="55"/>
        <v>Premium Customer</v>
      </c>
    </row>
    <row r="1773" spans="1:12" ht="15.75" customHeight="1" x14ac:dyDescent="0.3">
      <c r="A1773" s="14">
        <v>45423</v>
      </c>
      <c r="B1773" s="15" t="s">
        <v>1621</v>
      </c>
      <c r="C1773" s="15" t="s">
        <v>18</v>
      </c>
      <c r="D1773" s="15" t="s">
        <v>19</v>
      </c>
      <c r="E1773" s="16">
        <v>22.04</v>
      </c>
      <c r="F1773" s="15" t="s">
        <v>10</v>
      </c>
      <c r="G1773" s="15">
        <v>66.12</v>
      </c>
      <c r="H1773" s="17">
        <f t="shared" si="54"/>
        <v>5</v>
      </c>
      <c r="I1773" s="17">
        <f>YEAR(Sheet1!$A1773)</f>
        <v>2024</v>
      </c>
      <c r="J1773" s="17">
        <f>DAY(Sheet1!$A1773)</f>
        <v>11</v>
      </c>
      <c r="K1773" s="18" t="s">
        <v>2022</v>
      </c>
      <c r="L1773" s="19" t="str">
        <f t="shared" si="55"/>
        <v>Premium Customer</v>
      </c>
    </row>
    <row r="1774" spans="1:12" ht="15.75" customHeight="1" x14ac:dyDescent="0.3">
      <c r="A1774" s="7">
        <v>45441</v>
      </c>
      <c r="B1774" s="8" t="s">
        <v>238</v>
      </c>
      <c r="C1774" s="8" t="s">
        <v>24</v>
      </c>
      <c r="D1774" s="8" t="s">
        <v>9</v>
      </c>
      <c r="E1774" s="9">
        <v>22.09</v>
      </c>
      <c r="F1774" s="8" t="s">
        <v>11</v>
      </c>
      <c r="G1774" s="8">
        <v>66.27</v>
      </c>
      <c r="H1774" s="10">
        <f t="shared" si="54"/>
        <v>5</v>
      </c>
      <c r="I1774" s="10">
        <f>YEAR(Sheet1!$A1774)</f>
        <v>2024</v>
      </c>
      <c r="J1774" s="10">
        <f>DAY(Sheet1!$A1774)</f>
        <v>29</v>
      </c>
      <c r="K1774" s="12" t="s">
        <v>2022</v>
      </c>
      <c r="L1774" s="13" t="str">
        <f t="shared" si="55"/>
        <v>Premium Customer</v>
      </c>
    </row>
    <row r="1775" spans="1:12" ht="15.75" customHeight="1" x14ac:dyDescent="0.3">
      <c r="A1775" s="14">
        <v>45439</v>
      </c>
      <c r="B1775" s="15" t="s">
        <v>282</v>
      </c>
      <c r="C1775" s="15" t="s">
        <v>18</v>
      </c>
      <c r="D1775" s="15" t="s">
        <v>9</v>
      </c>
      <c r="E1775" s="16">
        <v>22.11</v>
      </c>
      <c r="F1775" s="15" t="s">
        <v>10</v>
      </c>
      <c r="G1775" s="15">
        <v>66.33</v>
      </c>
      <c r="H1775" s="17">
        <f t="shared" si="54"/>
        <v>5</v>
      </c>
      <c r="I1775" s="17">
        <f>YEAR(Sheet1!$A1775)</f>
        <v>2024</v>
      </c>
      <c r="J1775" s="17">
        <f>DAY(Sheet1!$A1775)</f>
        <v>27</v>
      </c>
      <c r="K1775" s="18" t="s">
        <v>2022</v>
      </c>
      <c r="L1775" s="19" t="str">
        <f t="shared" si="55"/>
        <v>Premium Customer</v>
      </c>
    </row>
    <row r="1776" spans="1:12" ht="15.75" customHeight="1" x14ac:dyDescent="0.3">
      <c r="A1776" s="7">
        <v>45754</v>
      </c>
      <c r="B1776" s="8" t="s">
        <v>418</v>
      </c>
      <c r="C1776" s="8" t="s">
        <v>13</v>
      </c>
      <c r="D1776" s="8" t="s">
        <v>9</v>
      </c>
      <c r="E1776" s="9">
        <v>22.14</v>
      </c>
      <c r="F1776" s="8" t="s">
        <v>10</v>
      </c>
      <c r="G1776" s="8">
        <v>66.42</v>
      </c>
      <c r="H1776" s="10">
        <f t="shared" si="54"/>
        <v>4</v>
      </c>
      <c r="I1776" s="10">
        <f>YEAR(Sheet1!$A1776)</f>
        <v>2025</v>
      </c>
      <c r="J1776" s="10">
        <f>DAY(Sheet1!$A1776)</f>
        <v>7</v>
      </c>
      <c r="K1776" s="12" t="s">
        <v>2022</v>
      </c>
      <c r="L1776" s="13" t="str">
        <f t="shared" si="55"/>
        <v>Premium Customer</v>
      </c>
    </row>
    <row r="1777" spans="1:12" ht="15.75" customHeight="1" x14ac:dyDescent="0.3">
      <c r="A1777" s="14">
        <v>45775</v>
      </c>
      <c r="B1777" s="15" t="s">
        <v>202</v>
      </c>
      <c r="C1777" s="15" t="s">
        <v>8</v>
      </c>
      <c r="D1777" s="15" t="s">
        <v>19</v>
      </c>
      <c r="E1777" s="16">
        <v>22.14</v>
      </c>
      <c r="F1777" s="15" t="s">
        <v>11</v>
      </c>
      <c r="G1777" s="15">
        <v>66.42</v>
      </c>
      <c r="H1777" s="17">
        <f t="shared" si="54"/>
        <v>4</v>
      </c>
      <c r="I1777" s="17">
        <f>YEAR(Sheet1!$A1777)</f>
        <v>2025</v>
      </c>
      <c r="J1777" s="17">
        <f>DAY(Sheet1!$A1777)</f>
        <v>28</v>
      </c>
      <c r="K1777" s="18" t="s">
        <v>2023</v>
      </c>
      <c r="L1777" s="19" t="str">
        <f t="shared" si="55"/>
        <v>Premium Customer</v>
      </c>
    </row>
    <row r="1778" spans="1:12" ht="15.75" customHeight="1" x14ac:dyDescent="0.3">
      <c r="A1778" s="7">
        <v>45588</v>
      </c>
      <c r="B1778" s="8" t="s">
        <v>1733</v>
      </c>
      <c r="C1778" s="8" t="s">
        <v>13</v>
      </c>
      <c r="D1778" s="8" t="s">
        <v>19</v>
      </c>
      <c r="E1778" s="9">
        <v>22.19</v>
      </c>
      <c r="F1778" s="8" t="s">
        <v>10</v>
      </c>
      <c r="G1778" s="8">
        <v>66.569999999999993</v>
      </c>
      <c r="H1778" s="10">
        <f t="shared" si="54"/>
        <v>10</v>
      </c>
      <c r="I1778" s="10">
        <f>YEAR(Sheet1!$A1778)</f>
        <v>2024</v>
      </c>
      <c r="J1778" s="10">
        <f>DAY(Sheet1!$A1778)</f>
        <v>23</v>
      </c>
      <c r="K1778" s="12" t="s">
        <v>2023</v>
      </c>
      <c r="L1778" s="13" t="str">
        <f t="shared" si="55"/>
        <v>Premium Customer</v>
      </c>
    </row>
    <row r="1779" spans="1:12" ht="15.75" customHeight="1" x14ac:dyDescent="0.3">
      <c r="A1779" s="14">
        <v>45501</v>
      </c>
      <c r="B1779" s="15" t="s">
        <v>593</v>
      </c>
      <c r="C1779" s="15" t="s">
        <v>24</v>
      </c>
      <c r="D1779" s="15" t="s">
        <v>19</v>
      </c>
      <c r="E1779" s="16">
        <v>22.21</v>
      </c>
      <c r="F1779" s="15" t="s">
        <v>10</v>
      </c>
      <c r="G1779" s="15">
        <v>66.63</v>
      </c>
      <c r="H1779" s="17">
        <f t="shared" si="54"/>
        <v>7</v>
      </c>
      <c r="I1779" s="17">
        <f>YEAR(Sheet1!$A1779)</f>
        <v>2024</v>
      </c>
      <c r="J1779" s="17">
        <f>DAY(Sheet1!$A1779)</f>
        <v>28</v>
      </c>
      <c r="K1779" s="18" t="s">
        <v>2022</v>
      </c>
      <c r="L1779" s="19" t="str">
        <f t="shared" si="55"/>
        <v>Premium Customer</v>
      </c>
    </row>
    <row r="1780" spans="1:12" ht="15.75" customHeight="1" x14ac:dyDescent="0.3">
      <c r="A1780" s="7">
        <v>45559</v>
      </c>
      <c r="B1780" s="8" t="s">
        <v>565</v>
      </c>
      <c r="C1780" s="8" t="s">
        <v>8</v>
      </c>
      <c r="D1780" s="8" t="s">
        <v>16</v>
      </c>
      <c r="E1780" s="9">
        <v>22.22</v>
      </c>
      <c r="F1780" s="8" t="s">
        <v>10</v>
      </c>
      <c r="G1780" s="8">
        <v>66.66</v>
      </c>
      <c r="H1780" s="10">
        <f t="shared" si="54"/>
        <v>9</v>
      </c>
      <c r="I1780" s="10">
        <f>YEAR(Sheet1!$A1780)</f>
        <v>2024</v>
      </c>
      <c r="J1780" s="10">
        <f>DAY(Sheet1!$A1780)</f>
        <v>24</v>
      </c>
      <c r="K1780" s="12" t="s">
        <v>2023</v>
      </c>
      <c r="L1780" s="13" t="str">
        <f t="shared" si="55"/>
        <v>Premium Customer</v>
      </c>
    </row>
    <row r="1781" spans="1:12" ht="15.75" customHeight="1" x14ac:dyDescent="0.3">
      <c r="A1781" s="14">
        <v>45572</v>
      </c>
      <c r="B1781" s="15" t="s">
        <v>1463</v>
      </c>
      <c r="C1781" s="15" t="s">
        <v>8</v>
      </c>
      <c r="D1781" s="15" t="s">
        <v>14</v>
      </c>
      <c r="E1781" s="16">
        <v>22.22</v>
      </c>
      <c r="F1781" s="15" t="s">
        <v>10</v>
      </c>
      <c r="G1781" s="15">
        <v>66.66</v>
      </c>
      <c r="H1781" s="17">
        <f t="shared" si="54"/>
        <v>10</v>
      </c>
      <c r="I1781" s="17">
        <f>YEAR(Sheet1!$A1781)</f>
        <v>2024</v>
      </c>
      <c r="J1781" s="17">
        <f>DAY(Sheet1!$A1781)</f>
        <v>7</v>
      </c>
      <c r="K1781" s="18" t="s">
        <v>2022</v>
      </c>
      <c r="L1781" s="19" t="str">
        <f t="shared" si="55"/>
        <v>Premium Customer</v>
      </c>
    </row>
    <row r="1782" spans="1:12" ht="15.75" customHeight="1" x14ac:dyDescent="0.3">
      <c r="A1782" s="7">
        <v>45669</v>
      </c>
      <c r="B1782" s="8" t="s">
        <v>570</v>
      </c>
      <c r="C1782" s="8" t="s">
        <v>13</v>
      </c>
      <c r="D1782" s="8" t="s">
        <v>19</v>
      </c>
      <c r="E1782" s="9">
        <v>22.23</v>
      </c>
      <c r="F1782" s="8" t="s">
        <v>10</v>
      </c>
      <c r="G1782" s="8">
        <v>66.69</v>
      </c>
      <c r="H1782" s="10">
        <f t="shared" si="54"/>
        <v>1</v>
      </c>
      <c r="I1782" s="10">
        <f>YEAR(Sheet1!$A1782)</f>
        <v>2025</v>
      </c>
      <c r="J1782" s="10">
        <f>DAY(Sheet1!$A1782)</f>
        <v>12</v>
      </c>
      <c r="K1782" s="12" t="s">
        <v>2023</v>
      </c>
      <c r="L1782" s="13" t="str">
        <f t="shared" si="55"/>
        <v>Premium Customer</v>
      </c>
    </row>
    <row r="1783" spans="1:12" ht="15.75" customHeight="1" x14ac:dyDescent="0.3">
      <c r="A1783" s="14">
        <v>45764</v>
      </c>
      <c r="B1783" s="15" t="s">
        <v>1323</v>
      </c>
      <c r="C1783" s="15" t="s">
        <v>18</v>
      </c>
      <c r="D1783" s="15" t="s">
        <v>9</v>
      </c>
      <c r="E1783" s="16">
        <v>22.23</v>
      </c>
      <c r="F1783" s="15" t="s">
        <v>11</v>
      </c>
      <c r="G1783" s="15">
        <v>66.69</v>
      </c>
      <c r="H1783" s="17">
        <f t="shared" si="54"/>
        <v>4</v>
      </c>
      <c r="I1783" s="17">
        <f>YEAR(Sheet1!$A1783)</f>
        <v>2025</v>
      </c>
      <c r="J1783" s="17">
        <f>DAY(Sheet1!$A1783)</f>
        <v>17</v>
      </c>
      <c r="K1783" s="18" t="s">
        <v>2023</v>
      </c>
      <c r="L1783" s="19" t="str">
        <f t="shared" si="55"/>
        <v>Premium Customer</v>
      </c>
    </row>
    <row r="1784" spans="1:12" ht="15.75" customHeight="1" x14ac:dyDescent="0.3">
      <c r="A1784" s="7">
        <v>45777</v>
      </c>
      <c r="B1784" s="8" t="s">
        <v>1432</v>
      </c>
      <c r="C1784" s="8" t="s">
        <v>18</v>
      </c>
      <c r="D1784" s="8" t="s">
        <v>19</v>
      </c>
      <c r="E1784" s="9">
        <v>22.24</v>
      </c>
      <c r="F1784" s="8" t="s">
        <v>10</v>
      </c>
      <c r="G1784" s="8">
        <v>66.72</v>
      </c>
      <c r="H1784" s="10">
        <f t="shared" si="54"/>
        <v>4</v>
      </c>
      <c r="I1784" s="10">
        <f>YEAR(Sheet1!$A1784)</f>
        <v>2025</v>
      </c>
      <c r="J1784" s="10">
        <f>DAY(Sheet1!$A1784)</f>
        <v>30</v>
      </c>
      <c r="K1784" s="12" t="s">
        <v>2022</v>
      </c>
      <c r="L1784" s="13" t="str">
        <f t="shared" si="55"/>
        <v>Premium Customer</v>
      </c>
    </row>
    <row r="1785" spans="1:12" ht="15.75" customHeight="1" x14ac:dyDescent="0.3">
      <c r="A1785" s="14">
        <v>45602</v>
      </c>
      <c r="B1785" s="15" t="s">
        <v>641</v>
      </c>
      <c r="C1785" s="15" t="s">
        <v>18</v>
      </c>
      <c r="D1785" s="15" t="s">
        <v>9</v>
      </c>
      <c r="E1785" s="16">
        <v>22.26</v>
      </c>
      <c r="F1785" s="15" t="s">
        <v>10</v>
      </c>
      <c r="G1785" s="15">
        <v>66.78</v>
      </c>
      <c r="H1785" s="17">
        <f t="shared" si="54"/>
        <v>11</v>
      </c>
      <c r="I1785" s="17">
        <f>YEAR(Sheet1!$A1785)</f>
        <v>2024</v>
      </c>
      <c r="J1785" s="17">
        <f>DAY(Sheet1!$A1785)</f>
        <v>6</v>
      </c>
      <c r="K1785" s="18" t="s">
        <v>2022</v>
      </c>
      <c r="L1785" s="19" t="str">
        <f t="shared" si="55"/>
        <v>Premium Customer</v>
      </c>
    </row>
    <row r="1786" spans="1:12" ht="15.75" customHeight="1" x14ac:dyDescent="0.3">
      <c r="A1786" s="7">
        <v>45686</v>
      </c>
      <c r="B1786" s="8" t="s">
        <v>1295</v>
      </c>
      <c r="C1786" s="8" t="s">
        <v>24</v>
      </c>
      <c r="D1786" s="8" t="s">
        <v>9</v>
      </c>
      <c r="E1786" s="9">
        <v>22.35</v>
      </c>
      <c r="F1786" s="8" t="s">
        <v>11</v>
      </c>
      <c r="G1786" s="8">
        <v>67.05</v>
      </c>
      <c r="H1786" s="10">
        <f t="shared" si="54"/>
        <v>1</v>
      </c>
      <c r="I1786" s="10">
        <f>YEAR(Sheet1!$A1786)</f>
        <v>2025</v>
      </c>
      <c r="J1786" s="10">
        <f>DAY(Sheet1!$A1786)</f>
        <v>29</v>
      </c>
      <c r="K1786" s="12" t="s">
        <v>2022</v>
      </c>
      <c r="L1786" s="13" t="str">
        <f t="shared" si="55"/>
        <v>Premium Customer</v>
      </c>
    </row>
    <row r="1787" spans="1:12" ht="15.75" customHeight="1" x14ac:dyDescent="0.3">
      <c r="A1787" s="14">
        <v>45466</v>
      </c>
      <c r="B1787" s="15" t="s">
        <v>1470</v>
      </c>
      <c r="C1787" s="15" t="s">
        <v>8</v>
      </c>
      <c r="D1787" s="15" t="s">
        <v>19</v>
      </c>
      <c r="E1787" s="16">
        <v>22.37</v>
      </c>
      <c r="F1787" s="15" t="s">
        <v>11</v>
      </c>
      <c r="G1787" s="15">
        <v>67.11</v>
      </c>
      <c r="H1787" s="17">
        <f t="shared" si="54"/>
        <v>6</v>
      </c>
      <c r="I1787" s="17">
        <f>YEAR(Sheet1!$A1787)</f>
        <v>2024</v>
      </c>
      <c r="J1787" s="17">
        <f>DAY(Sheet1!$A1787)</f>
        <v>23</v>
      </c>
      <c r="K1787" s="18" t="s">
        <v>2022</v>
      </c>
      <c r="L1787" s="19" t="str">
        <f t="shared" si="55"/>
        <v>Premium Customer</v>
      </c>
    </row>
    <row r="1788" spans="1:12" ht="15.75" customHeight="1" x14ac:dyDescent="0.3">
      <c r="A1788" s="7">
        <v>45742</v>
      </c>
      <c r="B1788" s="8" t="s">
        <v>349</v>
      </c>
      <c r="C1788" s="8" t="s">
        <v>24</v>
      </c>
      <c r="D1788" s="8" t="s">
        <v>14</v>
      </c>
      <c r="E1788" s="9">
        <v>22.39</v>
      </c>
      <c r="F1788" s="8" t="s">
        <v>11</v>
      </c>
      <c r="G1788" s="8">
        <v>67.17</v>
      </c>
      <c r="H1788" s="10">
        <f t="shared" si="54"/>
        <v>3</v>
      </c>
      <c r="I1788" s="10">
        <f>YEAR(Sheet1!$A1788)</f>
        <v>2025</v>
      </c>
      <c r="J1788" s="10">
        <f>DAY(Sheet1!$A1788)</f>
        <v>26</v>
      </c>
      <c r="K1788" s="12" t="s">
        <v>2023</v>
      </c>
      <c r="L1788" s="13" t="str">
        <f t="shared" si="55"/>
        <v>Premium Customer</v>
      </c>
    </row>
    <row r="1789" spans="1:12" ht="15.75" customHeight="1" x14ac:dyDescent="0.3">
      <c r="A1789" s="14">
        <v>45479</v>
      </c>
      <c r="B1789" s="15" t="s">
        <v>1430</v>
      </c>
      <c r="C1789" s="15" t="s">
        <v>8</v>
      </c>
      <c r="D1789" s="15" t="s">
        <v>19</v>
      </c>
      <c r="E1789" s="16">
        <v>22.56</v>
      </c>
      <c r="F1789" s="15" t="s">
        <v>11</v>
      </c>
      <c r="G1789" s="15">
        <v>67.680000000000007</v>
      </c>
      <c r="H1789" s="17">
        <f t="shared" si="54"/>
        <v>7</v>
      </c>
      <c r="I1789" s="17">
        <f>YEAR(Sheet1!$A1789)</f>
        <v>2024</v>
      </c>
      <c r="J1789" s="17">
        <f>DAY(Sheet1!$A1789)</f>
        <v>6</v>
      </c>
      <c r="K1789" s="18" t="s">
        <v>2023</v>
      </c>
      <c r="L1789" s="19" t="str">
        <f t="shared" si="55"/>
        <v>Premium Customer</v>
      </c>
    </row>
    <row r="1790" spans="1:12" ht="15.75" customHeight="1" x14ac:dyDescent="0.3">
      <c r="A1790" s="7">
        <v>45722</v>
      </c>
      <c r="B1790" s="8" t="s">
        <v>1737</v>
      </c>
      <c r="C1790" s="8" t="s">
        <v>8</v>
      </c>
      <c r="D1790" s="8" t="s">
        <v>9</v>
      </c>
      <c r="E1790" s="9">
        <v>22.61</v>
      </c>
      <c r="F1790" s="8" t="s">
        <v>10</v>
      </c>
      <c r="G1790" s="8">
        <v>67.83</v>
      </c>
      <c r="H1790" s="10">
        <f t="shared" si="54"/>
        <v>3</v>
      </c>
      <c r="I1790" s="10">
        <f>YEAR(Sheet1!$A1790)</f>
        <v>2025</v>
      </c>
      <c r="J1790" s="10">
        <f>DAY(Sheet1!$A1790)</f>
        <v>6</v>
      </c>
      <c r="K1790" s="12" t="s">
        <v>2023</v>
      </c>
      <c r="L1790" s="13" t="str">
        <f t="shared" si="55"/>
        <v>Premium Customer</v>
      </c>
    </row>
    <row r="1791" spans="1:12" ht="15.75" customHeight="1" x14ac:dyDescent="0.3">
      <c r="A1791" s="14">
        <v>45737</v>
      </c>
      <c r="B1791" s="15" t="s">
        <v>1669</v>
      </c>
      <c r="C1791" s="15" t="s">
        <v>24</v>
      </c>
      <c r="D1791" s="15" t="s">
        <v>14</v>
      </c>
      <c r="E1791" s="16">
        <v>22.61</v>
      </c>
      <c r="F1791" s="15" t="s">
        <v>10</v>
      </c>
      <c r="G1791" s="15">
        <v>67.83</v>
      </c>
      <c r="H1791" s="17">
        <f t="shared" si="54"/>
        <v>3</v>
      </c>
      <c r="I1791" s="17">
        <f>YEAR(Sheet1!$A1791)</f>
        <v>2025</v>
      </c>
      <c r="J1791" s="17">
        <f>DAY(Sheet1!$A1791)</f>
        <v>21</v>
      </c>
      <c r="K1791" s="18" t="s">
        <v>2022</v>
      </c>
      <c r="L1791" s="19" t="str">
        <f t="shared" si="55"/>
        <v>Premium Customer</v>
      </c>
    </row>
    <row r="1792" spans="1:12" ht="15.75" customHeight="1" x14ac:dyDescent="0.3">
      <c r="A1792" s="7">
        <v>45419</v>
      </c>
      <c r="B1792" s="8" t="s">
        <v>520</v>
      </c>
      <c r="C1792" s="8" t="s">
        <v>13</v>
      </c>
      <c r="D1792" s="8" t="s">
        <v>19</v>
      </c>
      <c r="E1792" s="9">
        <v>22.62</v>
      </c>
      <c r="F1792" s="8" t="s">
        <v>10</v>
      </c>
      <c r="G1792" s="8">
        <v>67.86</v>
      </c>
      <c r="H1792" s="10">
        <f t="shared" si="54"/>
        <v>5</v>
      </c>
      <c r="I1792" s="10">
        <f>YEAR(Sheet1!$A1792)</f>
        <v>2024</v>
      </c>
      <c r="J1792" s="10">
        <f>DAY(Sheet1!$A1792)</f>
        <v>7</v>
      </c>
      <c r="K1792" s="12" t="s">
        <v>2022</v>
      </c>
      <c r="L1792" s="13" t="str">
        <f t="shared" si="55"/>
        <v>Premium Customer</v>
      </c>
    </row>
    <row r="1793" spans="1:12" ht="15.75" customHeight="1" x14ac:dyDescent="0.3">
      <c r="A1793" s="14">
        <v>45670</v>
      </c>
      <c r="B1793" s="15" t="s">
        <v>1042</v>
      </c>
      <c r="C1793" s="15" t="s">
        <v>13</v>
      </c>
      <c r="D1793" s="15" t="s">
        <v>16</v>
      </c>
      <c r="E1793" s="16">
        <v>22.62</v>
      </c>
      <c r="F1793" s="15" t="s">
        <v>10</v>
      </c>
      <c r="G1793" s="15">
        <v>67.86</v>
      </c>
      <c r="H1793" s="17">
        <f t="shared" si="54"/>
        <v>1</v>
      </c>
      <c r="I1793" s="17">
        <f>YEAR(Sheet1!$A1793)</f>
        <v>2025</v>
      </c>
      <c r="J1793" s="17">
        <f>DAY(Sheet1!$A1793)</f>
        <v>13</v>
      </c>
      <c r="K1793" s="18" t="s">
        <v>2022</v>
      </c>
      <c r="L1793" s="19" t="str">
        <f t="shared" si="55"/>
        <v>Premium Customer</v>
      </c>
    </row>
    <row r="1794" spans="1:12" ht="15.75" customHeight="1" x14ac:dyDescent="0.3">
      <c r="A1794" s="7">
        <v>45548</v>
      </c>
      <c r="B1794" s="8" t="s">
        <v>1962</v>
      </c>
      <c r="C1794" s="8" t="s">
        <v>13</v>
      </c>
      <c r="D1794" s="8" t="s">
        <v>9</v>
      </c>
      <c r="E1794" s="9">
        <v>22.65</v>
      </c>
      <c r="F1794" s="8" t="s">
        <v>11</v>
      </c>
      <c r="G1794" s="8">
        <v>67.95</v>
      </c>
      <c r="H1794" s="10">
        <f t="shared" ref="H1794:H1857" si="56">MONTH(A1794)</f>
        <v>9</v>
      </c>
      <c r="I1794" s="10">
        <f>YEAR(Sheet1!$A1794)</f>
        <v>2024</v>
      </c>
      <c r="J1794" s="10">
        <f>DAY(Sheet1!$A1794)</f>
        <v>13</v>
      </c>
      <c r="K1794" s="12" t="s">
        <v>2023</v>
      </c>
      <c r="L1794" s="13" t="str">
        <f t="shared" ref="L1794:L1857" si="57">IF(G1794&gt;50,"Premium Customer","Regular Customer")</f>
        <v>Premium Customer</v>
      </c>
    </row>
    <row r="1795" spans="1:12" ht="15.75" customHeight="1" x14ac:dyDescent="0.3">
      <c r="A1795" s="14">
        <v>45450</v>
      </c>
      <c r="B1795" s="15" t="s">
        <v>180</v>
      </c>
      <c r="C1795" s="15" t="s">
        <v>18</v>
      </c>
      <c r="D1795" s="15" t="s">
        <v>9</v>
      </c>
      <c r="E1795" s="16">
        <v>22.7</v>
      </c>
      <c r="F1795" s="15" t="s">
        <v>10</v>
      </c>
      <c r="G1795" s="15">
        <v>68.099999999999994</v>
      </c>
      <c r="H1795" s="17">
        <f t="shared" si="56"/>
        <v>6</v>
      </c>
      <c r="I1795" s="17">
        <f>YEAR(Sheet1!$A1795)</f>
        <v>2024</v>
      </c>
      <c r="J1795" s="17">
        <f>DAY(Sheet1!$A1795)</f>
        <v>7</v>
      </c>
      <c r="K1795" s="18" t="s">
        <v>2022</v>
      </c>
      <c r="L1795" s="19" t="str">
        <f t="shared" si="57"/>
        <v>Premium Customer</v>
      </c>
    </row>
    <row r="1796" spans="1:12" ht="15.75" customHeight="1" x14ac:dyDescent="0.3">
      <c r="A1796" s="7">
        <v>45483</v>
      </c>
      <c r="B1796" s="8" t="s">
        <v>175</v>
      </c>
      <c r="C1796" s="8" t="s">
        <v>13</v>
      </c>
      <c r="D1796" s="8" t="s">
        <v>14</v>
      </c>
      <c r="E1796" s="9">
        <v>22.7</v>
      </c>
      <c r="F1796" s="8" t="s">
        <v>11</v>
      </c>
      <c r="G1796" s="8">
        <v>68.099999999999994</v>
      </c>
      <c r="H1796" s="10">
        <f t="shared" si="56"/>
        <v>7</v>
      </c>
      <c r="I1796" s="10">
        <f>YEAR(Sheet1!$A1796)</f>
        <v>2024</v>
      </c>
      <c r="J1796" s="10">
        <f>DAY(Sheet1!$A1796)</f>
        <v>10</v>
      </c>
      <c r="K1796" s="12" t="s">
        <v>2023</v>
      </c>
      <c r="L1796" s="13" t="str">
        <f t="shared" si="57"/>
        <v>Premium Customer</v>
      </c>
    </row>
    <row r="1797" spans="1:12" ht="15.75" customHeight="1" x14ac:dyDescent="0.3">
      <c r="A1797" s="14">
        <v>45598</v>
      </c>
      <c r="B1797" s="15" t="s">
        <v>113</v>
      </c>
      <c r="C1797" s="15" t="s">
        <v>8</v>
      </c>
      <c r="D1797" s="15" t="s">
        <v>16</v>
      </c>
      <c r="E1797" s="16">
        <v>22.72</v>
      </c>
      <c r="F1797" s="15" t="s">
        <v>10</v>
      </c>
      <c r="G1797" s="15">
        <v>68.16</v>
      </c>
      <c r="H1797" s="17">
        <f t="shared" si="56"/>
        <v>11</v>
      </c>
      <c r="I1797" s="17">
        <f>YEAR(Sheet1!$A1797)</f>
        <v>2024</v>
      </c>
      <c r="J1797" s="17">
        <f>DAY(Sheet1!$A1797)</f>
        <v>2</v>
      </c>
      <c r="K1797" s="18" t="s">
        <v>2022</v>
      </c>
      <c r="L1797" s="19" t="str">
        <f t="shared" si="57"/>
        <v>Premium Customer</v>
      </c>
    </row>
    <row r="1798" spans="1:12" ht="15.75" customHeight="1" x14ac:dyDescent="0.3">
      <c r="A1798" s="7">
        <v>45663</v>
      </c>
      <c r="B1798" s="8" t="s">
        <v>130</v>
      </c>
      <c r="C1798" s="8" t="s">
        <v>13</v>
      </c>
      <c r="D1798" s="8" t="s">
        <v>19</v>
      </c>
      <c r="E1798" s="9">
        <v>22.77</v>
      </c>
      <c r="F1798" s="8" t="s">
        <v>10</v>
      </c>
      <c r="G1798" s="8">
        <v>68.31</v>
      </c>
      <c r="H1798" s="10">
        <f t="shared" si="56"/>
        <v>1</v>
      </c>
      <c r="I1798" s="10">
        <f>YEAR(Sheet1!$A1798)</f>
        <v>2025</v>
      </c>
      <c r="J1798" s="10">
        <f>DAY(Sheet1!$A1798)</f>
        <v>6</v>
      </c>
      <c r="K1798" s="12" t="s">
        <v>2022</v>
      </c>
      <c r="L1798" s="13" t="str">
        <f t="shared" si="57"/>
        <v>Premium Customer</v>
      </c>
    </row>
    <row r="1799" spans="1:12" ht="15.75" customHeight="1" x14ac:dyDescent="0.3">
      <c r="A1799" s="14">
        <v>45737</v>
      </c>
      <c r="B1799" s="15" t="s">
        <v>1946</v>
      </c>
      <c r="C1799" s="15" t="s">
        <v>24</v>
      </c>
      <c r="D1799" s="15" t="s">
        <v>16</v>
      </c>
      <c r="E1799" s="16">
        <v>22.77</v>
      </c>
      <c r="F1799" s="15" t="s">
        <v>11</v>
      </c>
      <c r="G1799" s="15">
        <v>68.31</v>
      </c>
      <c r="H1799" s="17">
        <f t="shared" si="56"/>
        <v>3</v>
      </c>
      <c r="I1799" s="17">
        <f>YEAR(Sheet1!$A1799)</f>
        <v>2025</v>
      </c>
      <c r="J1799" s="17">
        <f>DAY(Sheet1!$A1799)</f>
        <v>21</v>
      </c>
      <c r="K1799" s="18" t="s">
        <v>2022</v>
      </c>
      <c r="L1799" s="19" t="str">
        <f t="shared" si="57"/>
        <v>Premium Customer</v>
      </c>
    </row>
    <row r="1800" spans="1:12" ht="15.75" customHeight="1" x14ac:dyDescent="0.3">
      <c r="A1800" s="7">
        <v>45759</v>
      </c>
      <c r="B1800" s="8" t="s">
        <v>1066</v>
      </c>
      <c r="C1800" s="8" t="s">
        <v>8</v>
      </c>
      <c r="D1800" s="8" t="s">
        <v>9</v>
      </c>
      <c r="E1800" s="9">
        <v>22.89</v>
      </c>
      <c r="F1800" s="8" t="s">
        <v>10</v>
      </c>
      <c r="G1800" s="8">
        <v>68.67</v>
      </c>
      <c r="H1800" s="10">
        <f t="shared" si="56"/>
        <v>4</v>
      </c>
      <c r="I1800" s="10">
        <f>YEAR(Sheet1!$A1800)</f>
        <v>2025</v>
      </c>
      <c r="J1800" s="10">
        <f>DAY(Sheet1!$A1800)</f>
        <v>12</v>
      </c>
      <c r="K1800" s="12" t="s">
        <v>2023</v>
      </c>
      <c r="L1800" s="13" t="str">
        <f t="shared" si="57"/>
        <v>Premium Customer</v>
      </c>
    </row>
    <row r="1801" spans="1:12" ht="15.75" customHeight="1" x14ac:dyDescent="0.3">
      <c r="A1801" s="14">
        <v>45525</v>
      </c>
      <c r="B1801" s="15" t="s">
        <v>1284</v>
      </c>
      <c r="C1801" s="15" t="s">
        <v>24</v>
      </c>
      <c r="D1801" s="15" t="s">
        <v>19</v>
      </c>
      <c r="E1801" s="16">
        <v>22.92</v>
      </c>
      <c r="F1801" s="15" t="s">
        <v>10</v>
      </c>
      <c r="G1801" s="15">
        <v>68.760000000000005</v>
      </c>
      <c r="H1801" s="17">
        <f t="shared" si="56"/>
        <v>8</v>
      </c>
      <c r="I1801" s="17">
        <f>YEAR(Sheet1!$A1801)</f>
        <v>2024</v>
      </c>
      <c r="J1801" s="17">
        <f>DAY(Sheet1!$A1801)</f>
        <v>21</v>
      </c>
      <c r="K1801" s="18" t="s">
        <v>2022</v>
      </c>
      <c r="L1801" s="19" t="str">
        <f t="shared" si="57"/>
        <v>Premium Customer</v>
      </c>
    </row>
    <row r="1802" spans="1:12" ht="15.75" customHeight="1" x14ac:dyDescent="0.3">
      <c r="A1802" s="7">
        <v>45437</v>
      </c>
      <c r="B1802" s="8" t="s">
        <v>108</v>
      </c>
      <c r="C1802" s="8" t="s">
        <v>24</v>
      </c>
      <c r="D1802" s="8" t="s">
        <v>9</v>
      </c>
      <c r="E1802" s="9">
        <v>22.98</v>
      </c>
      <c r="F1802" s="8" t="s">
        <v>10</v>
      </c>
      <c r="G1802" s="8">
        <v>68.94</v>
      </c>
      <c r="H1802" s="10">
        <f t="shared" si="56"/>
        <v>5</v>
      </c>
      <c r="I1802" s="10">
        <f>YEAR(Sheet1!$A1802)</f>
        <v>2024</v>
      </c>
      <c r="J1802" s="10">
        <f>DAY(Sheet1!$A1802)</f>
        <v>25</v>
      </c>
      <c r="K1802" s="12" t="s">
        <v>2022</v>
      </c>
      <c r="L1802" s="13" t="str">
        <f t="shared" si="57"/>
        <v>Premium Customer</v>
      </c>
    </row>
    <row r="1803" spans="1:12" ht="15.75" customHeight="1" x14ac:dyDescent="0.3">
      <c r="A1803" s="14">
        <v>45711</v>
      </c>
      <c r="B1803" s="15" t="s">
        <v>454</v>
      </c>
      <c r="C1803" s="15" t="s">
        <v>8</v>
      </c>
      <c r="D1803" s="15" t="s">
        <v>14</v>
      </c>
      <c r="E1803" s="16">
        <v>22.99</v>
      </c>
      <c r="F1803" s="15" t="s">
        <v>11</v>
      </c>
      <c r="G1803" s="15">
        <v>68.97</v>
      </c>
      <c r="H1803" s="17">
        <f t="shared" si="56"/>
        <v>2</v>
      </c>
      <c r="I1803" s="17">
        <f>YEAR(Sheet1!$A1803)</f>
        <v>2025</v>
      </c>
      <c r="J1803" s="17">
        <f>DAY(Sheet1!$A1803)</f>
        <v>23</v>
      </c>
      <c r="K1803" s="18" t="s">
        <v>2022</v>
      </c>
      <c r="L1803" s="19" t="str">
        <f t="shared" si="57"/>
        <v>Premium Customer</v>
      </c>
    </row>
    <row r="1804" spans="1:12" ht="15.75" customHeight="1" x14ac:dyDescent="0.3">
      <c r="A1804" s="7">
        <v>45583</v>
      </c>
      <c r="B1804" s="8" t="s">
        <v>921</v>
      </c>
      <c r="C1804" s="8" t="s">
        <v>8</v>
      </c>
      <c r="D1804" s="8" t="s">
        <v>16</v>
      </c>
      <c r="E1804" s="9">
        <v>23.05</v>
      </c>
      <c r="F1804" s="8" t="s">
        <v>11</v>
      </c>
      <c r="G1804" s="8">
        <v>69.150000000000006</v>
      </c>
      <c r="H1804" s="10">
        <f t="shared" si="56"/>
        <v>10</v>
      </c>
      <c r="I1804" s="10">
        <f>YEAR(Sheet1!$A1804)</f>
        <v>2024</v>
      </c>
      <c r="J1804" s="10">
        <f>DAY(Sheet1!$A1804)</f>
        <v>18</v>
      </c>
      <c r="K1804" s="12" t="s">
        <v>2023</v>
      </c>
      <c r="L1804" s="13" t="str">
        <f t="shared" si="57"/>
        <v>Premium Customer</v>
      </c>
    </row>
    <row r="1805" spans="1:12" ht="15.75" customHeight="1" x14ac:dyDescent="0.3">
      <c r="A1805" s="14">
        <v>45557</v>
      </c>
      <c r="B1805" s="15" t="s">
        <v>264</v>
      </c>
      <c r="C1805" s="15" t="s">
        <v>18</v>
      </c>
      <c r="D1805" s="15" t="s">
        <v>9</v>
      </c>
      <c r="E1805" s="16">
        <v>23.08</v>
      </c>
      <c r="F1805" s="15" t="s">
        <v>10</v>
      </c>
      <c r="G1805" s="15">
        <v>69.239999999999995</v>
      </c>
      <c r="H1805" s="17">
        <f t="shared" si="56"/>
        <v>9</v>
      </c>
      <c r="I1805" s="17">
        <f>YEAR(Sheet1!$A1805)</f>
        <v>2024</v>
      </c>
      <c r="J1805" s="17">
        <f>DAY(Sheet1!$A1805)</f>
        <v>22</v>
      </c>
      <c r="K1805" s="18" t="s">
        <v>2023</v>
      </c>
      <c r="L1805" s="19" t="str">
        <f t="shared" si="57"/>
        <v>Premium Customer</v>
      </c>
    </row>
    <row r="1806" spans="1:12" ht="15.75" customHeight="1" x14ac:dyDescent="0.3">
      <c r="A1806" s="7">
        <v>45558</v>
      </c>
      <c r="B1806" s="8" t="s">
        <v>242</v>
      </c>
      <c r="C1806" s="8" t="s">
        <v>13</v>
      </c>
      <c r="D1806" s="8" t="s">
        <v>9</v>
      </c>
      <c r="E1806" s="9">
        <v>23.09</v>
      </c>
      <c r="F1806" s="8" t="s">
        <v>10</v>
      </c>
      <c r="G1806" s="8">
        <v>69.27</v>
      </c>
      <c r="H1806" s="10">
        <f t="shared" si="56"/>
        <v>9</v>
      </c>
      <c r="I1806" s="10">
        <f>YEAR(Sheet1!$A1806)</f>
        <v>2024</v>
      </c>
      <c r="J1806" s="10">
        <f>DAY(Sheet1!$A1806)</f>
        <v>23</v>
      </c>
      <c r="K1806" s="12" t="s">
        <v>2023</v>
      </c>
      <c r="L1806" s="13" t="str">
        <f t="shared" si="57"/>
        <v>Premium Customer</v>
      </c>
    </row>
    <row r="1807" spans="1:12" ht="15.75" customHeight="1" x14ac:dyDescent="0.3">
      <c r="A1807" s="14">
        <v>45669</v>
      </c>
      <c r="B1807" s="15" t="s">
        <v>608</v>
      </c>
      <c r="C1807" s="15" t="s">
        <v>18</v>
      </c>
      <c r="D1807" s="15" t="s">
        <v>19</v>
      </c>
      <c r="E1807" s="16">
        <v>23.11</v>
      </c>
      <c r="F1807" s="15" t="s">
        <v>10</v>
      </c>
      <c r="G1807" s="15">
        <v>69.33</v>
      </c>
      <c r="H1807" s="17">
        <f t="shared" si="56"/>
        <v>1</v>
      </c>
      <c r="I1807" s="17">
        <f>YEAR(Sheet1!$A1807)</f>
        <v>2025</v>
      </c>
      <c r="J1807" s="17">
        <f>DAY(Sheet1!$A1807)</f>
        <v>12</v>
      </c>
      <c r="K1807" s="18" t="s">
        <v>2022</v>
      </c>
      <c r="L1807" s="19" t="str">
        <f t="shared" si="57"/>
        <v>Premium Customer</v>
      </c>
    </row>
    <row r="1808" spans="1:12" ht="15.75" customHeight="1" x14ac:dyDescent="0.3">
      <c r="A1808" s="7">
        <v>45473</v>
      </c>
      <c r="B1808" s="8" t="s">
        <v>1280</v>
      </c>
      <c r="C1808" s="8" t="s">
        <v>24</v>
      </c>
      <c r="D1808" s="8" t="s">
        <v>14</v>
      </c>
      <c r="E1808" s="9">
        <v>23.13</v>
      </c>
      <c r="F1808" s="8" t="s">
        <v>10</v>
      </c>
      <c r="G1808" s="8">
        <v>69.39</v>
      </c>
      <c r="H1808" s="10">
        <f t="shared" si="56"/>
        <v>6</v>
      </c>
      <c r="I1808" s="10">
        <f>YEAR(Sheet1!$A1808)</f>
        <v>2024</v>
      </c>
      <c r="J1808" s="10">
        <f>DAY(Sheet1!$A1808)</f>
        <v>30</v>
      </c>
      <c r="K1808" s="12" t="s">
        <v>2022</v>
      </c>
      <c r="L1808" s="13" t="str">
        <f t="shared" si="57"/>
        <v>Premium Customer</v>
      </c>
    </row>
    <row r="1809" spans="1:12" ht="15.75" customHeight="1" x14ac:dyDescent="0.3">
      <c r="A1809" s="14">
        <v>45483</v>
      </c>
      <c r="B1809" s="15" t="s">
        <v>670</v>
      </c>
      <c r="C1809" s="15" t="s">
        <v>24</v>
      </c>
      <c r="D1809" s="15" t="s">
        <v>16</v>
      </c>
      <c r="E1809" s="16">
        <v>23.14</v>
      </c>
      <c r="F1809" s="15" t="s">
        <v>11</v>
      </c>
      <c r="G1809" s="15">
        <v>69.42</v>
      </c>
      <c r="H1809" s="17">
        <f t="shared" si="56"/>
        <v>7</v>
      </c>
      <c r="I1809" s="17">
        <f>YEAR(Sheet1!$A1809)</f>
        <v>2024</v>
      </c>
      <c r="J1809" s="17">
        <f>DAY(Sheet1!$A1809)</f>
        <v>10</v>
      </c>
      <c r="K1809" s="18" t="s">
        <v>2022</v>
      </c>
      <c r="L1809" s="19" t="str">
        <f t="shared" si="57"/>
        <v>Premium Customer</v>
      </c>
    </row>
    <row r="1810" spans="1:12" ht="15.75" customHeight="1" x14ac:dyDescent="0.3">
      <c r="A1810" s="7">
        <v>45520</v>
      </c>
      <c r="B1810" s="8" t="s">
        <v>408</v>
      </c>
      <c r="C1810" s="8" t="s">
        <v>13</v>
      </c>
      <c r="D1810" s="8" t="s">
        <v>16</v>
      </c>
      <c r="E1810" s="9">
        <v>23.15</v>
      </c>
      <c r="F1810" s="8" t="s">
        <v>10</v>
      </c>
      <c r="G1810" s="8">
        <v>69.45</v>
      </c>
      <c r="H1810" s="10">
        <f t="shared" si="56"/>
        <v>8</v>
      </c>
      <c r="I1810" s="10">
        <f>YEAR(Sheet1!$A1810)</f>
        <v>2024</v>
      </c>
      <c r="J1810" s="10">
        <f>DAY(Sheet1!$A1810)</f>
        <v>16</v>
      </c>
      <c r="K1810" s="12" t="s">
        <v>2022</v>
      </c>
      <c r="L1810" s="13" t="str">
        <f t="shared" si="57"/>
        <v>Premium Customer</v>
      </c>
    </row>
    <row r="1811" spans="1:12" ht="15.75" customHeight="1" x14ac:dyDescent="0.3">
      <c r="A1811" s="14">
        <v>45658</v>
      </c>
      <c r="B1811" s="15" t="s">
        <v>1977</v>
      </c>
      <c r="C1811" s="15" t="s">
        <v>24</v>
      </c>
      <c r="D1811" s="15" t="s">
        <v>14</v>
      </c>
      <c r="E1811" s="16">
        <v>23.16</v>
      </c>
      <c r="F1811" s="15" t="s">
        <v>11</v>
      </c>
      <c r="G1811" s="15">
        <v>69.48</v>
      </c>
      <c r="H1811" s="17">
        <f t="shared" si="56"/>
        <v>1</v>
      </c>
      <c r="I1811" s="17">
        <f>YEAR(Sheet1!$A1811)</f>
        <v>2025</v>
      </c>
      <c r="J1811" s="17">
        <f>DAY(Sheet1!$A1811)</f>
        <v>1</v>
      </c>
      <c r="K1811" s="18" t="s">
        <v>2023</v>
      </c>
      <c r="L1811" s="19" t="str">
        <f t="shared" si="57"/>
        <v>Premium Customer</v>
      </c>
    </row>
    <row r="1812" spans="1:12" ht="15.75" customHeight="1" x14ac:dyDescent="0.3">
      <c r="A1812" s="7">
        <v>45687</v>
      </c>
      <c r="B1812" s="8" t="s">
        <v>954</v>
      </c>
      <c r="C1812" s="8" t="s">
        <v>18</v>
      </c>
      <c r="D1812" s="8" t="s">
        <v>16</v>
      </c>
      <c r="E1812" s="9">
        <v>23.24</v>
      </c>
      <c r="F1812" s="8" t="s">
        <v>11</v>
      </c>
      <c r="G1812" s="8">
        <v>69.72</v>
      </c>
      <c r="H1812" s="10">
        <f t="shared" si="56"/>
        <v>1</v>
      </c>
      <c r="I1812" s="10">
        <f>YEAR(Sheet1!$A1812)</f>
        <v>2025</v>
      </c>
      <c r="J1812" s="10">
        <f>DAY(Sheet1!$A1812)</f>
        <v>30</v>
      </c>
      <c r="K1812" s="12" t="s">
        <v>2022</v>
      </c>
      <c r="L1812" s="13" t="str">
        <f t="shared" si="57"/>
        <v>Premium Customer</v>
      </c>
    </row>
    <row r="1813" spans="1:12" ht="15.75" customHeight="1" x14ac:dyDescent="0.3">
      <c r="A1813" s="14">
        <v>45657</v>
      </c>
      <c r="B1813" s="15" t="s">
        <v>966</v>
      </c>
      <c r="C1813" s="15" t="s">
        <v>13</v>
      </c>
      <c r="D1813" s="15" t="s">
        <v>19</v>
      </c>
      <c r="E1813" s="16">
        <v>23.26</v>
      </c>
      <c r="F1813" s="15" t="s">
        <v>11</v>
      </c>
      <c r="G1813" s="15">
        <v>69.78</v>
      </c>
      <c r="H1813" s="17">
        <f t="shared" si="56"/>
        <v>12</v>
      </c>
      <c r="I1813" s="17">
        <f>YEAR(Sheet1!$A1813)</f>
        <v>2024</v>
      </c>
      <c r="J1813" s="17">
        <f>DAY(Sheet1!$A1813)</f>
        <v>31</v>
      </c>
      <c r="K1813" s="18" t="s">
        <v>2023</v>
      </c>
      <c r="L1813" s="19" t="str">
        <f t="shared" si="57"/>
        <v>Premium Customer</v>
      </c>
    </row>
    <row r="1814" spans="1:12" ht="15.75" customHeight="1" x14ac:dyDescent="0.3">
      <c r="A1814" s="7">
        <v>45625</v>
      </c>
      <c r="B1814" s="8" t="s">
        <v>1071</v>
      </c>
      <c r="C1814" s="8" t="s">
        <v>18</v>
      </c>
      <c r="D1814" s="8" t="s">
        <v>16</v>
      </c>
      <c r="E1814" s="9">
        <v>23.27</v>
      </c>
      <c r="F1814" s="8" t="s">
        <v>11</v>
      </c>
      <c r="G1814" s="8">
        <v>69.81</v>
      </c>
      <c r="H1814" s="10">
        <f t="shared" si="56"/>
        <v>11</v>
      </c>
      <c r="I1814" s="10">
        <f>YEAR(Sheet1!$A1814)</f>
        <v>2024</v>
      </c>
      <c r="J1814" s="10">
        <f>DAY(Sheet1!$A1814)</f>
        <v>29</v>
      </c>
      <c r="K1814" s="12" t="s">
        <v>2023</v>
      </c>
      <c r="L1814" s="13" t="str">
        <f t="shared" si="57"/>
        <v>Premium Customer</v>
      </c>
    </row>
    <row r="1815" spans="1:12" ht="15.75" customHeight="1" x14ac:dyDescent="0.3">
      <c r="A1815" s="14">
        <v>45691</v>
      </c>
      <c r="B1815" s="15" t="s">
        <v>1564</v>
      </c>
      <c r="C1815" s="15" t="s">
        <v>18</v>
      </c>
      <c r="D1815" s="15" t="s">
        <v>14</v>
      </c>
      <c r="E1815" s="16">
        <v>23.29</v>
      </c>
      <c r="F1815" s="15" t="s">
        <v>11</v>
      </c>
      <c r="G1815" s="15">
        <v>69.87</v>
      </c>
      <c r="H1815" s="17">
        <f t="shared" si="56"/>
        <v>2</v>
      </c>
      <c r="I1815" s="17">
        <f>YEAR(Sheet1!$A1815)</f>
        <v>2025</v>
      </c>
      <c r="J1815" s="17">
        <f>DAY(Sheet1!$A1815)</f>
        <v>3</v>
      </c>
      <c r="K1815" s="18" t="s">
        <v>2022</v>
      </c>
      <c r="L1815" s="19" t="str">
        <f t="shared" si="57"/>
        <v>Premium Customer</v>
      </c>
    </row>
    <row r="1816" spans="1:12" ht="15.75" customHeight="1" x14ac:dyDescent="0.3">
      <c r="A1816" s="7">
        <v>45557</v>
      </c>
      <c r="B1816" s="8" t="s">
        <v>287</v>
      </c>
      <c r="C1816" s="8" t="s">
        <v>8</v>
      </c>
      <c r="D1816" s="8" t="s">
        <v>19</v>
      </c>
      <c r="E1816" s="9">
        <v>23.3</v>
      </c>
      <c r="F1816" s="8" t="s">
        <v>11</v>
      </c>
      <c r="G1816" s="8">
        <v>69.900000000000006</v>
      </c>
      <c r="H1816" s="10">
        <f t="shared" si="56"/>
        <v>9</v>
      </c>
      <c r="I1816" s="10">
        <f>YEAR(Sheet1!$A1816)</f>
        <v>2024</v>
      </c>
      <c r="J1816" s="10">
        <f>DAY(Sheet1!$A1816)</f>
        <v>22</v>
      </c>
      <c r="K1816" s="12" t="s">
        <v>2022</v>
      </c>
      <c r="L1816" s="13" t="str">
        <f t="shared" si="57"/>
        <v>Premium Customer</v>
      </c>
    </row>
    <row r="1817" spans="1:12" ht="15.75" customHeight="1" x14ac:dyDescent="0.3">
      <c r="A1817" s="14">
        <v>45623</v>
      </c>
      <c r="B1817" s="15" t="s">
        <v>693</v>
      </c>
      <c r="C1817" s="15" t="s">
        <v>13</v>
      </c>
      <c r="D1817" s="15" t="s">
        <v>9</v>
      </c>
      <c r="E1817" s="16">
        <v>23.34</v>
      </c>
      <c r="F1817" s="15" t="s">
        <v>11</v>
      </c>
      <c r="G1817" s="15">
        <v>70.02</v>
      </c>
      <c r="H1817" s="17">
        <f t="shared" si="56"/>
        <v>11</v>
      </c>
      <c r="I1817" s="17">
        <f>YEAR(Sheet1!$A1817)</f>
        <v>2024</v>
      </c>
      <c r="J1817" s="17">
        <f>DAY(Sheet1!$A1817)</f>
        <v>27</v>
      </c>
      <c r="K1817" s="18" t="s">
        <v>2022</v>
      </c>
      <c r="L1817" s="19" t="str">
        <f t="shared" si="57"/>
        <v>Premium Customer</v>
      </c>
    </row>
    <row r="1818" spans="1:12" ht="15.75" customHeight="1" x14ac:dyDescent="0.3">
      <c r="A1818" s="7">
        <v>45425</v>
      </c>
      <c r="B1818" s="8" t="s">
        <v>772</v>
      </c>
      <c r="C1818" s="8" t="s">
        <v>13</v>
      </c>
      <c r="D1818" s="8" t="s">
        <v>9</v>
      </c>
      <c r="E1818" s="9">
        <v>23.36</v>
      </c>
      <c r="F1818" s="8" t="s">
        <v>10</v>
      </c>
      <c r="G1818" s="8">
        <v>70.08</v>
      </c>
      <c r="H1818" s="10">
        <f t="shared" si="56"/>
        <v>5</v>
      </c>
      <c r="I1818" s="10">
        <f>YEAR(Sheet1!$A1818)</f>
        <v>2024</v>
      </c>
      <c r="J1818" s="10">
        <f>DAY(Sheet1!$A1818)</f>
        <v>13</v>
      </c>
      <c r="K1818" s="12" t="s">
        <v>2022</v>
      </c>
      <c r="L1818" s="13" t="str">
        <f t="shared" si="57"/>
        <v>Premium Customer</v>
      </c>
    </row>
    <row r="1819" spans="1:12" ht="15.75" customHeight="1" x14ac:dyDescent="0.3">
      <c r="A1819" s="14">
        <v>45448</v>
      </c>
      <c r="B1819" s="15" t="s">
        <v>960</v>
      </c>
      <c r="C1819" s="15" t="s">
        <v>13</v>
      </c>
      <c r="D1819" s="15" t="s">
        <v>14</v>
      </c>
      <c r="E1819" s="16">
        <v>23.37</v>
      </c>
      <c r="F1819" s="15" t="s">
        <v>10</v>
      </c>
      <c r="G1819" s="15">
        <v>70.11</v>
      </c>
      <c r="H1819" s="17">
        <f t="shared" si="56"/>
        <v>6</v>
      </c>
      <c r="I1819" s="17">
        <f>YEAR(Sheet1!$A1819)</f>
        <v>2024</v>
      </c>
      <c r="J1819" s="17">
        <f>DAY(Sheet1!$A1819)</f>
        <v>5</v>
      </c>
      <c r="K1819" s="18" t="s">
        <v>2022</v>
      </c>
      <c r="L1819" s="19" t="str">
        <f t="shared" si="57"/>
        <v>Premium Customer</v>
      </c>
    </row>
    <row r="1820" spans="1:12" ht="15.75" customHeight="1" x14ac:dyDescent="0.3">
      <c r="A1820" s="7">
        <v>45601</v>
      </c>
      <c r="B1820" s="8" t="s">
        <v>356</v>
      </c>
      <c r="C1820" s="8" t="s">
        <v>13</v>
      </c>
      <c r="D1820" s="8" t="s">
        <v>14</v>
      </c>
      <c r="E1820" s="9">
        <v>23.38</v>
      </c>
      <c r="F1820" s="8" t="s">
        <v>11</v>
      </c>
      <c r="G1820" s="8">
        <v>70.14</v>
      </c>
      <c r="H1820" s="10">
        <f t="shared" si="56"/>
        <v>11</v>
      </c>
      <c r="I1820" s="10">
        <f>YEAR(Sheet1!$A1820)</f>
        <v>2024</v>
      </c>
      <c r="J1820" s="10">
        <f>DAY(Sheet1!$A1820)</f>
        <v>5</v>
      </c>
      <c r="K1820" s="12" t="s">
        <v>2022</v>
      </c>
      <c r="L1820" s="13" t="str">
        <f t="shared" si="57"/>
        <v>Premium Customer</v>
      </c>
    </row>
    <row r="1821" spans="1:12" ht="15.75" customHeight="1" x14ac:dyDescent="0.3">
      <c r="A1821" s="14">
        <v>45563</v>
      </c>
      <c r="B1821" s="15" t="s">
        <v>1159</v>
      </c>
      <c r="C1821" s="15" t="s">
        <v>24</v>
      </c>
      <c r="D1821" s="15" t="s">
        <v>9</v>
      </c>
      <c r="E1821" s="16">
        <v>23.4</v>
      </c>
      <c r="F1821" s="15" t="s">
        <v>10</v>
      </c>
      <c r="G1821" s="15">
        <v>70.2</v>
      </c>
      <c r="H1821" s="17">
        <f t="shared" si="56"/>
        <v>9</v>
      </c>
      <c r="I1821" s="17">
        <f>YEAR(Sheet1!$A1821)</f>
        <v>2024</v>
      </c>
      <c r="J1821" s="17">
        <f>DAY(Sheet1!$A1821)</f>
        <v>28</v>
      </c>
      <c r="K1821" s="18" t="s">
        <v>2022</v>
      </c>
      <c r="L1821" s="19" t="str">
        <f t="shared" si="57"/>
        <v>Premium Customer</v>
      </c>
    </row>
    <row r="1822" spans="1:12" ht="15.75" customHeight="1" x14ac:dyDescent="0.3">
      <c r="A1822" s="7">
        <v>45742</v>
      </c>
      <c r="B1822" s="8" t="s">
        <v>118</v>
      </c>
      <c r="C1822" s="8" t="s">
        <v>18</v>
      </c>
      <c r="D1822" s="8" t="s">
        <v>9</v>
      </c>
      <c r="E1822" s="9">
        <v>23.45</v>
      </c>
      <c r="F1822" s="8" t="s">
        <v>10</v>
      </c>
      <c r="G1822" s="8">
        <v>70.349999999999994</v>
      </c>
      <c r="H1822" s="10">
        <f t="shared" si="56"/>
        <v>3</v>
      </c>
      <c r="I1822" s="10">
        <f>YEAR(Sheet1!$A1822)</f>
        <v>2025</v>
      </c>
      <c r="J1822" s="10">
        <f>DAY(Sheet1!$A1822)</f>
        <v>26</v>
      </c>
      <c r="K1822" s="12" t="s">
        <v>2023</v>
      </c>
      <c r="L1822" s="13" t="str">
        <f t="shared" si="57"/>
        <v>Premium Customer</v>
      </c>
    </row>
    <row r="1823" spans="1:12" ht="15.75" customHeight="1" x14ac:dyDescent="0.3">
      <c r="A1823" s="14">
        <v>45608</v>
      </c>
      <c r="B1823" s="15" t="s">
        <v>1957</v>
      </c>
      <c r="C1823" s="15" t="s">
        <v>24</v>
      </c>
      <c r="D1823" s="15" t="s">
        <v>9</v>
      </c>
      <c r="E1823" s="16">
        <v>23.48</v>
      </c>
      <c r="F1823" s="15" t="s">
        <v>10</v>
      </c>
      <c r="G1823" s="15">
        <v>70.44</v>
      </c>
      <c r="H1823" s="17">
        <f t="shared" si="56"/>
        <v>11</v>
      </c>
      <c r="I1823" s="17">
        <f>YEAR(Sheet1!$A1823)</f>
        <v>2024</v>
      </c>
      <c r="J1823" s="17">
        <f>DAY(Sheet1!$A1823)</f>
        <v>12</v>
      </c>
      <c r="K1823" s="18" t="s">
        <v>2022</v>
      </c>
      <c r="L1823" s="19" t="str">
        <f t="shared" si="57"/>
        <v>Premium Customer</v>
      </c>
    </row>
    <row r="1824" spans="1:12" ht="15.75" customHeight="1" x14ac:dyDescent="0.3">
      <c r="A1824" s="7">
        <v>45699</v>
      </c>
      <c r="B1824" s="8" t="s">
        <v>821</v>
      </c>
      <c r="C1824" s="8" t="s">
        <v>24</v>
      </c>
      <c r="D1824" s="8" t="s">
        <v>16</v>
      </c>
      <c r="E1824" s="9">
        <v>23.5</v>
      </c>
      <c r="F1824" s="8" t="s">
        <v>10</v>
      </c>
      <c r="G1824" s="8">
        <v>70.5</v>
      </c>
      <c r="H1824" s="10">
        <f t="shared" si="56"/>
        <v>2</v>
      </c>
      <c r="I1824" s="10">
        <f>YEAR(Sheet1!$A1824)</f>
        <v>2025</v>
      </c>
      <c r="J1824" s="10">
        <f>DAY(Sheet1!$A1824)</f>
        <v>11</v>
      </c>
      <c r="K1824" s="12" t="s">
        <v>2023</v>
      </c>
      <c r="L1824" s="13" t="str">
        <f t="shared" si="57"/>
        <v>Premium Customer</v>
      </c>
    </row>
    <row r="1825" spans="1:12" ht="15.75" customHeight="1" x14ac:dyDescent="0.3">
      <c r="A1825" s="14">
        <v>45455</v>
      </c>
      <c r="B1825" s="15" t="s">
        <v>752</v>
      </c>
      <c r="C1825" s="15" t="s">
        <v>8</v>
      </c>
      <c r="D1825" s="15" t="s">
        <v>16</v>
      </c>
      <c r="E1825" s="16">
        <v>23.55</v>
      </c>
      <c r="F1825" s="15" t="s">
        <v>10</v>
      </c>
      <c r="G1825" s="15">
        <v>70.650000000000006</v>
      </c>
      <c r="H1825" s="17">
        <f t="shared" si="56"/>
        <v>6</v>
      </c>
      <c r="I1825" s="17">
        <f>YEAR(Sheet1!$A1825)</f>
        <v>2024</v>
      </c>
      <c r="J1825" s="17">
        <f>DAY(Sheet1!$A1825)</f>
        <v>12</v>
      </c>
      <c r="K1825" s="18" t="s">
        <v>2022</v>
      </c>
      <c r="L1825" s="19" t="str">
        <f t="shared" si="57"/>
        <v>Premium Customer</v>
      </c>
    </row>
    <row r="1826" spans="1:12" ht="15.75" customHeight="1" x14ac:dyDescent="0.3">
      <c r="A1826" s="7">
        <v>45587</v>
      </c>
      <c r="B1826" s="8" t="s">
        <v>70</v>
      </c>
      <c r="C1826" s="8" t="s">
        <v>8</v>
      </c>
      <c r="D1826" s="8" t="s">
        <v>9</v>
      </c>
      <c r="E1826" s="9">
        <v>23.64</v>
      </c>
      <c r="F1826" s="8" t="s">
        <v>10</v>
      </c>
      <c r="G1826" s="8">
        <v>70.92</v>
      </c>
      <c r="H1826" s="10">
        <f t="shared" si="56"/>
        <v>10</v>
      </c>
      <c r="I1826" s="10">
        <f>YEAR(Sheet1!$A1826)</f>
        <v>2024</v>
      </c>
      <c r="J1826" s="10">
        <f>DAY(Sheet1!$A1826)</f>
        <v>22</v>
      </c>
      <c r="K1826" s="12" t="s">
        <v>2023</v>
      </c>
      <c r="L1826" s="13" t="str">
        <f t="shared" si="57"/>
        <v>Premium Customer</v>
      </c>
    </row>
    <row r="1827" spans="1:12" ht="15.75" customHeight="1" x14ac:dyDescent="0.3">
      <c r="A1827" s="14">
        <v>45523</v>
      </c>
      <c r="B1827" s="15" t="s">
        <v>487</v>
      </c>
      <c r="C1827" s="15" t="s">
        <v>24</v>
      </c>
      <c r="D1827" s="15" t="s">
        <v>19</v>
      </c>
      <c r="E1827" s="16">
        <v>23.7</v>
      </c>
      <c r="F1827" s="15" t="s">
        <v>11</v>
      </c>
      <c r="G1827" s="15">
        <v>71.099999999999994</v>
      </c>
      <c r="H1827" s="17">
        <f t="shared" si="56"/>
        <v>8</v>
      </c>
      <c r="I1827" s="17">
        <f>YEAR(Sheet1!$A1827)</f>
        <v>2024</v>
      </c>
      <c r="J1827" s="17">
        <f>DAY(Sheet1!$A1827)</f>
        <v>19</v>
      </c>
      <c r="K1827" s="18" t="s">
        <v>2023</v>
      </c>
      <c r="L1827" s="19" t="str">
        <f t="shared" si="57"/>
        <v>Premium Customer</v>
      </c>
    </row>
    <row r="1828" spans="1:12" ht="15.75" customHeight="1" x14ac:dyDescent="0.3">
      <c r="A1828" s="7">
        <v>45600</v>
      </c>
      <c r="B1828" s="8" t="s">
        <v>501</v>
      </c>
      <c r="C1828" s="8" t="s">
        <v>24</v>
      </c>
      <c r="D1828" s="8" t="s">
        <v>19</v>
      </c>
      <c r="E1828" s="9">
        <v>23.73</v>
      </c>
      <c r="F1828" s="8" t="s">
        <v>10</v>
      </c>
      <c r="G1828" s="8">
        <v>71.19</v>
      </c>
      <c r="H1828" s="10">
        <f t="shared" si="56"/>
        <v>11</v>
      </c>
      <c r="I1828" s="10">
        <f>YEAR(Sheet1!$A1828)</f>
        <v>2024</v>
      </c>
      <c r="J1828" s="10">
        <f>DAY(Sheet1!$A1828)</f>
        <v>4</v>
      </c>
      <c r="K1828" s="12" t="s">
        <v>2023</v>
      </c>
      <c r="L1828" s="13" t="str">
        <f t="shared" si="57"/>
        <v>Premium Customer</v>
      </c>
    </row>
    <row r="1829" spans="1:12" ht="15.75" customHeight="1" x14ac:dyDescent="0.3">
      <c r="A1829" s="14">
        <v>45692</v>
      </c>
      <c r="B1829" s="15" t="s">
        <v>281</v>
      </c>
      <c r="C1829" s="15" t="s">
        <v>13</v>
      </c>
      <c r="D1829" s="15" t="s">
        <v>9</v>
      </c>
      <c r="E1829" s="16">
        <v>23.8</v>
      </c>
      <c r="F1829" s="15" t="s">
        <v>10</v>
      </c>
      <c r="G1829" s="15">
        <v>71.400000000000006</v>
      </c>
      <c r="H1829" s="17">
        <f t="shared" si="56"/>
        <v>2</v>
      </c>
      <c r="I1829" s="17">
        <f>YEAR(Sheet1!$A1829)</f>
        <v>2025</v>
      </c>
      <c r="J1829" s="17">
        <f>DAY(Sheet1!$A1829)</f>
        <v>4</v>
      </c>
      <c r="K1829" s="18" t="s">
        <v>2022</v>
      </c>
      <c r="L1829" s="19" t="str">
        <f t="shared" si="57"/>
        <v>Premium Customer</v>
      </c>
    </row>
    <row r="1830" spans="1:12" ht="15.75" customHeight="1" x14ac:dyDescent="0.3">
      <c r="A1830" s="7">
        <v>45422</v>
      </c>
      <c r="B1830" s="8" t="s">
        <v>1844</v>
      </c>
      <c r="C1830" s="8" t="s">
        <v>24</v>
      </c>
      <c r="D1830" s="8" t="s">
        <v>19</v>
      </c>
      <c r="E1830" s="9">
        <v>23.85</v>
      </c>
      <c r="F1830" s="8" t="s">
        <v>11</v>
      </c>
      <c r="G1830" s="8">
        <v>71.55</v>
      </c>
      <c r="H1830" s="10">
        <f t="shared" si="56"/>
        <v>5</v>
      </c>
      <c r="I1830" s="10">
        <f>YEAR(Sheet1!$A1830)</f>
        <v>2024</v>
      </c>
      <c r="J1830" s="10">
        <f>DAY(Sheet1!$A1830)</f>
        <v>10</v>
      </c>
      <c r="K1830" s="12" t="s">
        <v>2023</v>
      </c>
      <c r="L1830" s="13" t="str">
        <f t="shared" si="57"/>
        <v>Premium Customer</v>
      </c>
    </row>
    <row r="1831" spans="1:12" ht="15.75" customHeight="1" x14ac:dyDescent="0.3">
      <c r="A1831" s="14">
        <v>45717</v>
      </c>
      <c r="B1831" s="15" t="s">
        <v>1467</v>
      </c>
      <c r="C1831" s="15" t="s">
        <v>13</v>
      </c>
      <c r="D1831" s="15" t="s">
        <v>9</v>
      </c>
      <c r="E1831" s="16">
        <v>23.94</v>
      </c>
      <c r="F1831" s="15" t="s">
        <v>11</v>
      </c>
      <c r="G1831" s="15">
        <v>71.819999999999993</v>
      </c>
      <c r="H1831" s="17">
        <f t="shared" si="56"/>
        <v>3</v>
      </c>
      <c r="I1831" s="17">
        <f>YEAR(Sheet1!$A1831)</f>
        <v>2025</v>
      </c>
      <c r="J1831" s="17">
        <f>DAY(Sheet1!$A1831)</f>
        <v>1</v>
      </c>
      <c r="K1831" s="18" t="s">
        <v>2022</v>
      </c>
      <c r="L1831" s="19" t="str">
        <f t="shared" si="57"/>
        <v>Premium Customer</v>
      </c>
    </row>
    <row r="1832" spans="1:12" ht="15.75" customHeight="1" x14ac:dyDescent="0.3">
      <c r="A1832" s="7">
        <v>45555</v>
      </c>
      <c r="B1832" s="8" t="s">
        <v>249</v>
      </c>
      <c r="C1832" s="8" t="s">
        <v>8</v>
      </c>
      <c r="D1832" s="8" t="s">
        <v>19</v>
      </c>
      <c r="E1832" s="9">
        <v>23.95</v>
      </c>
      <c r="F1832" s="8" t="s">
        <v>11</v>
      </c>
      <c r="G1832" s="8">
        <v>71.849999999999994</v>
      </c>
      <c r="H1832" s="10">
        <f t="shared" si="56"/>
        <v>9</v>
      </c>
      <c r="I1832" s="10">
        <f>YEAR(Sheet1!$A1832)</f>
        <v>2024</v>
      </c>
      <c r="J1832" s="10">
        <f>DAY(Sheet1!$A1832)</f>
        <v>20</v>
      </c>
      <c r="K1832" s="12" t="s">
        <v>2022</v>
      </c>
      <c r="L1832" s="13" t="str">
        <f t="shared" si="57"/>
        <v>Premium Customer</v>
      </c>
    </row>
    <row r="1833" spans="1:12" ht="15.75" customHeight="1" x14ac:dyDescent="0.3">
      <c r="A1833" s="14">
        <v>45714</v>
      </c>
      <c r="B1833" s="15" t="s">
        <v>288</v>
      </c>
      <c r="C1833" s="15" t="s">
        <v>18</v>
      </c>
      <c r="D1833" s="15" t="s">
        <v>9</v>
      </c>
      <c r="E1833" s="16">
        <v>23.95</v>
      </c>
      <c r="F1833" s="15" t="s">
        <v>10</v>
      </c>
      <c r="G1833" s="15">
        <v>71.849999999999994</v>
      </c>
      <c r="H1833" s="17">
        <f t="shared" si="56"/>
        <v>2</v>
      </c>
      <c r="I1833" s="17">
        <f>YEAR(Sheet1!$A1833)</f>
        <v>2025</v>
      </c>
      <c r="J1833" s="17">
        <f>DAY(Sheet1!$A1833)</f>
        <v>26</v>
      </c>
      <c r="K1833" s="18" t="s">
        <v>2022</v>
      </c>
      <c r="L1833" s="19" t="str">
        <f t="shared" si="57"/>
        <v>Premium Customer</v>
      </c>
    </row>
    <row r="1834" spans="1:12" ht="15.75" customHeight="1" x14ac:dyDescent="0.3">
      <c r="A1834" s="7">
        <v>45492</v>
      </c>
      <c r="B1834" s="8" t="s">
        <v>1712</v>
      </c>
      <c r="C1834" s="8" t="s">
        <v>13</v>
      </c>
      <c r="D1834" s="8" t="s">
        <v>16</v>
      </c>
      <c r="E1834" s="9">
        <v>23.98</v>
      </c>
      <c r="F1834" s="8" t="s">
        <v>10</v>
      </c>
      <c r="G1834" s="8">
        <v>71.94</v>
      </c>
      <c r="H1834" s="10">
        <f t="shared" si="56"/>
        <v>7</v>
      </c>
      <c r="I1834" s="10">
        <f>YEAR(Sheet1!$A1834)</f>
        <v>2024</v>
      </c>
      <c r="J1834" s="10">
        <f>DAY(Sheet1!$A1834)</f>
        <v>19</v>
      </c>
      <c r="K1834" s="12" t="s">
        <v>2022</v>
      </c>
      <c r="L1834" s="13" t="str">
        <f t="shared" si="57"/>
        <v>Premium Customer</v>
      </c>
    </row>
    <row r="1835" spans="1:12" ht="15.75" customHeight="1" x14ac:dyDescent="0.3">
      <c r="A1835" s="14">
        <v>45678</v>
      </c>
      <c r="B1835" s="15" t="s">
        <v>1804</v>
      </c>
      <c r="C1835" s="15" t="s">
        <v>18</v>
      </c>
      <c r="D1835" s="15" t="s">
        <v>16</v>
      </c>
      <c r="E1835" s="16">
        <v>23.98</v>
      </c>
      <c r="F1835" s="15" t="s">
        <v>10</v>
      </c>
      <c r="G1835" s="15">
        <v>71.94</v>
      </c>
      <c r="H1835" s="17">
        <f t="shared" si="56"/>
        <v>1</v>
      </c>
      <c r="I1835" s="17">
        <f>YEAR(Sheet1!$A1835)</f>
        <v>2025</v>
      </c>
      <c r="J1835" s="17">
        <f>DAY(Sheet1!$A1835)</f>
        <v>21</v>
      </c>
      <c r="K1835" s="18" t="s">
        <v>2022</v>
      </c>
      <c r="L1835" s="19" t="str">
        <f t="shared" si="57"/>
        <v>Premium Customer</v>
      </c>
    </row>
    <row r="1836" spans="1:12" ht="15.75" customHeight="1" x14ac:dyDescent="0.3">
      <c r="A1836" s="7">
        <v>45446</v>
      </c>
      <c r="B1836" s="8" t="s">
        <v>759</v>
      </c>
      <c r="C1836" s="8" t="s">
        <v>18</v>
      </c>
      <c r="D1836" s="8" t="s">
        <v>14</v>
      </c>
      <c r="E1836" s="9">
        <v>24.03</v>
      </c>
      <c r="F1836" s="8" t="s">
        <v>10</v>
      </c>
      <c r="G1836" s="8">
        <v>72.09</v>
      </c>
      <c r="H1836" s="10">
        <f t="shared" si="56"/>
        <v>6</v>
      </c>
      <c r="I1836" s="10">
        <f>YEAR(Sheet1!$A1836)</f>
        <v>2024</v>
      </c>
      <c r="J1836" s="10">
        <f>DAY(Sheet1!$A1836)</f>
        <v>3</v>
      </c>
      <c r="K1836" s="12" t="s">
        <v>2023</v>
      </c>
      <c r="L1836" s="13" t="str">
        <f t="shared" si="57"/>
        <v>Premium Customer</v>
      </c>
    </row>
    <row r="1837" spans="1:12" ht="15.75" customHeight="1" x14ac:dyDescent="0.3">
      <c r="A1837" s="14">
        <v>45683</v>
      </c>
      <c r="B1837" s="15" t="s">
        <v>478</v>
      </c>
      <c r="C1837" s="15" t="s">
        <v>24</v>
      </c>
      <c r="D1837" s="15" t="s">
        <v>14</v>
      </c>
      <c r="E1837" s="16">
        <v>24.04</v>
      </c>
      <c r="F1837" s="15" t="s">
        <v>10</v>
      </c>
      <c r="G1837" s="15">
        <v>72.12</v>
      </c>
      <c r="H1837" s="17">
        <f t="shared" si="56"/>
        <v>1</v>
      </c>
      <c r="I1837" s="17">
        <f>YEAR(Sheet1!$A1837)</f>
        <v>2025</v>
      </c>
      <c r="J1837" s="17">
        <f>DAY(Sheet1!$A1837)</f>
        <v>26</v>
      </c>
      <c r="K1837" s="18" t="s">
        <v>2023</v>
      </c>
      <c r="L1837" s="19" t="str">
        <f t="shared" si="57"/>
        <v>Premium Customer</v>
      </c>
    </row>
    <row r="1838" spans="1:12" ht="15.75" customHeight="1" x14ac:dyDescent="0.3">
      <c r="A1838" s="7">
        <v>45661</v>
      </c>
      <c r="B1838" s="8" t="s">
        <v>147</v>
      </c>
      <c r="C1838" s="8" t="s">
        <v>13</v>
      </c>
      <c r="D1838" s="8" t="s">
        <v>14</v>
      </c>
      <c r="E1838" s="9">
        <v>24.1</v>
      </c>
      <c r="F1838" s="8" t="s">
        <v>11</v>
      </c>
      <c r="G1838" s="8">
        <v>72.3</v>
      </c>
      <c r="H1838" s="10">
        <f t="shared" si="56"/>
        <v>1</v>
      </c>
      <c r="I1838" s="10">
        <f>YEAR(Sheet1!$A1838)</f>
        <v>2025</v>
      </c>
      <c r="J1838" s="10">
        <f>DAY(Sheet1!$A1838)</f>
        <v>4</v>
      </c>
      <c r="K1838" s="12" t="s">
        <v>2023</v>
      </c>
      <c r="L1838" s="13" t="str">
        <f t="shared" si="57"/>
        <v>Premium Customer</v>
      </c>
    </row>
    <row r="1839" spans="1:12" ht="15.75" customHeight="1" x14ac:dyDescent="0.3">
      <c r="A1839" s="14">
        <v>45537</v>
      </c>
      <c r="B1839" s="15" t="s">
        <v>799</v>
      </c>
      <c r="C1839" s="15" t="s">
        <v>13</v>
      </c>
      <c r="D1839" s="15" t="s">
        <v>16</v>
      </c>
      <c r="E1839" s="16">
        <v>24.16</v>
      </c>
      <c r="F1839" s="15" t="s">
        <v>11</v>
      </c>
      <c r="G1839" s="15">
        <v>72.48</v>
      </c>
      <c r="H1839" s="17">
        <f t="shared" si="56"/>
        <v>9</v>
      </c>
      <c r="I1839" s="17">
        <f>YEAR(Sheet1!$A1839)</f>
        <v>2024</v>
      </c>
      <c r="J1839" s="17">
        <f>DAY(Sheet1!$A1839)</f>
        <v>2</v>
      </c>
      <c r="K1839" s="18" t="s">
        <v>2023</v>
      </c>
      <c r="L1839" s="19" t="str">
        <f t="shared" si="57"/>
        <v>Premium Customer</v>
      </c>
    </row>
    <row r="1840" spans="1:12" ht="15.75" customHeight="1" x14ac:dyDescent="0.3">
      <c r="A1840" s="7">
        <v>45528</v>
      </c>
      <c r="B1840" s="8" t="s">
        <v>1175</v>
      </c>
      <c r="C1840" s="8" t="s">
        <v>18</v>
      </c>
      <c r="D1840" s="8" t="s">
        <v>14</v>
      </c>
      <c r="E1840" s="9">
        <v>24.23</v>
      </c>
      <c r="F1840" s="8" t="s">
        <v>11</v>
      </c>
      <c r="G1840" s="8">
        <v>72.69</v>
      </c>
      <c r="H1840" s="10">
        <f t="shared" si="56"/>
        <v>8</v>
      </c>
      <c r="I1840" s="10">
        <f>YEAR(Sheet1!$A1840)</f>
        <v>2024</v>
      </c>
      <c r="J1840" s="10">
        <f>DAY(Sheet1!$A1840)</f>
        <v>24</v>
      </c>
      <c r="K1840" s="12" t="s">
        <v>2022</v>
      </c>
      <c r="L1840" s="13" t="str">
        <f t="shared" si="57"/>
        <v>Premium Customer</v>
      </c>
    </row>
    <row r="1841" spans="1:12" ht="15.75" customHeight="1" x14ac:dyDescent="0.3">
      <c r="A1841" s="14">
        <v>45492</v>
      </c>
      <c r="B1841" s="15" t="s">
        <v>172</v>
      </c>
      <c r="C1841" s="15" t="s">
        <v>18</v>
      </c>
      <c r="D1841" s="15" t="s">
        <v>19</v>
      </c>
      <c r="E1841" s="16">
        <v>24.29</v>
      </c>
      <c r="F1841" s="15" t="s">
        <v>11</v>
      </c>
      <c r="G1841" s="15">
        <v>72.87</v>
      </c>
      <c r="H1841" s="17">
        <f t="shared" si="56"/>
        <v>7</v>
      </c>
      <c r="I1841" s="17">
        <f>YEAR(Sheet1!$A1841)</f>
        <v>2024</v>
      </c>
      <c r="J1841" s="17">
        <f>DAY(Sheet1!$A1841)</f>
        <v>19</v>
      </c>
      <c r="K1841" s="18" t="s">
        <v>2022</v>
      </c>
      <c r="L1841" s="19" t="str">
        <f t="shared" si="57"/>
        <v>Premium Customer</v>
      </c>
    </row>
    <row r="1842" spans="1:12" ht="15.75" customHeight="1" x14ac:dyDescent="0.3">
      <c r="A1842" s="7">
        <v>45661</v>
      </c>
      <c r="B1842" s="8" t="s">
        <v>1469</v>
      </c>
      <c r="C1842" s="8" t="s">
        <v>13</v>
      </c>
      <c r="D1842" s="8" t="s">
        <v>9</v>
      </c>
      <c r="E1842" s="9">
        <v>24.35</v>
      </c>
      <c r="F1842" s="8" t="s">
        <v>10</v>
      </c>
      <c r="G1842" s="8">
        <v>73.05</v>
      </c>
      <c r="H1842" s="10">
        <f t="shared" si="56"/>
        <v>1</v>
      </c>
      <c r="I1842" s="10">
        <f>YEAR(Sheet1!$A1842)</f>
        <v>2025</v>
      </c>
      <c r="J1842" s="10">
        <f>DAY(Sheet1!$A1842)</f>
        <v>4</v>
      </c>
      <c r="K1842" s="12" t="s">
        <v>2023</v>
      </c>
      <c r="L1842" s="13" t="str">
        <f t="shared" si="57"/>
        <v>Premium Customer</v>
      </c>
    </row>
    <row r="1843" spans="1:12" ht="15.75" customHeight="1" x14ac:dyDescent="0.3">
      <c r="A1843" s="14">
        <v>45469</v>
      </c>
      <c r="B1843" s="15" t="s">
        <v>406</v>
      </c>
      <c r="C1843" s="15" t="s">
        <v>24</v>
      </c>
      <c r="D1843" s="15" t="s">
        <v>19</v>
      </c>
      <c r="E1843" s="16">
        <v>24.43</v>
      </c>
      <c r="F1843" s="15" t="s">
        <v>10</v>
      </c>
      <c r="G1843" s="15">
        <v>73.290000000000006</v>
      </c>
      <c r="H1843" s="17">
        <f t="shared" si="56"/>
        <v>6</v>
      </c>
      <c r="I1843" s="17">
        <f>YEAR(Sheet1!$A1843)</f>
        <v>2024</v>
      </c>
      <c r="J1843" s="17">
        <f>DAY(Sheet1!$A1843)</f>
        <v>26</v>
      </c>
      <c r="K1843" s="18" t="s">
        <v>2023</v>
      </c>
      <c r="L1843" s="19" t="str">
        <f t="shared" si="57"/>
        <v>Premium Customer</v>
      </c>
    </row>
    <row r="1844" spans="1:12" ht="15.75" customHeight="1" x14ac:dyDescent="0.3">
      <c r="A1844" s="7">
        <v>45418</v>
      </c>
      <c r="B1844" s="8" t="s">
        <v>1947</v>
      </c>
      <c r="C1844" s="8" t="s">
        <v>24</v>
      </c>
      <c r="D1844" s="8" t="s">
        <v>19</v>
      </c>
      <c r="E1844" s="9">
        <v>24.59</v>
      </c>
      <c r="F1844" s="8" t="s">
        <v>11</v>
      </c>
      <c r="G1844" s="8">
        <v>73.77</v>
      </c>
      <c r="H1844" s="10">
        <f t="shared" si="56"/>
        <v>5</v>
      </c>
      <c r="I1844" s="10">
        <f>YEAR(Sheet1!$A1844)</f>
        <v>2024</v>
      </c>
      <c r="J1844" s="10">
        <f>DAY(Sheet1!$A1844)</f>
        <v>6</v>
      </c>
      <c r="K1844" s="12" t="s">
        <v>2023</v>
      </c>
      <c r="L1844" s="13" t="str">
        <f t="shared" si="57"/>
        <v>Premium Customer</v>
      </c>
    </row>
    <row r="1845" spans="1:12" ht="15.75" customHeight="1" x14ac:dyDescent="0.3">
      <c r="A1845" s="14">
        <v>45493</v>
      </c>
      <c r="B1845" s="15" t="s">
        <v>136</v>
      </c>
      <c r="C1845" s="15" t="s">
        <v>24</v>
      </c>
      <c r="D1845" s="15" t="s">
        <v>16</v>
      </c>
      <c r="E1845" s="16">
        <v>24.6</v>
      </c>
      <c r="F1845" s="15" t="s">
        <v>10</v>
      </c>
      <c r="G1845" s="15">
        <v>73.8</v>
      </c>
      <c r="H1845" s="17">
        <f t="shared" si="56"/>
        <v>7</v>
      </c>
      <c r="I1845" s="17">
        <f>YEAR(Sheet1!$A1845)</f>
        <v>2024</v>
      </c>
      <c r="J1845" s="17">
        <f>DAY(Sheet1!$A1845)</f>
        <v>20</v>
      </c>
      <c r="K1845" s="18" t="s">
        <v>2023</v>
      </c>
      <c r="L1845" s="19" t="str">
        <f t="shared" si="57"/>
        <v>Premium Customer</v>
      </c>
    </row>
    <row r="1846" spans="1:12" ht="15.75" customHeight="1" x14ac:dyDescent="0.3">
      <c r="A1846" s="7">
        <v>45459</v>
      </c>
      <c r="B1846" s="8" t="s">
        <v>663</v>
      </c>
      <c r="C1846" s="8" t="s">
        <v>18</v>
      </c>
      <c r="D1846" s="8" t="s">
        <v>14</v>
      </c>
      <c r="E1846" s="9">
        <v>24.65</v>
      </c>
      <c r="F1846" s="8" t="s">
        <v>10</v>
      </c>
      <c r="G1846" s="8">
        <v>73.95</v>
      </c>
      <c r="H1846" s="10">
        <f t="shared" si="56"/>
        <v>6</v>
      </c>
      <c r="I1846" s="10">
        <f>YEAR(Sheet1!$A1846)</f>
        <v>2024</v>
      </c>
      <c r="J1846" s="10">
        <f>DAY(Sheet1!$A1846)</f>
        <v>16</v>
      </c>
      <c r="K1846" s="12" t="s">
        <v>2022</v>
      </c>
      <c r="L1846" s="13" t="str">
        <f t="shared" si="57"/>
        <v>Premium Customer</v>
      </c>
    </row>
    <row r="1847" spans="1:12" ht="15.75" customHeight="1" x14ac:dyDescent="0.3">
      <c r="A1847" s="14">
        <v>45493</v>
      </c>
      <c r="B1847" s="15" t="s">
        <v>1664</v>
      </c>
      <c r="C1847" s="15" t="s">
        <v>24</v>
      </c>
      <c r="D1847" s="15" t="s">
        <v>9</v>
      </c>
      <c r="E1847" s="16">
        <v>24.68</v>
      </c>
      <c r="F1847" s="15" t="s">
        <v>11</v>
      </c>
      <c r="G1847" s="15">
        <v>74.040000000000006</v>
      </c>
      <c r="H1847" s="17">
        <f t="shared" si="56"/>
        <v>7</v>
      </c>
      <c r="I1847" s="17">
        <f>YEAR(Sheet1!$A1847)</f>
        <v>2024</v>
      </c>
      <c r="J1847" s="17">
        <f>DAY(Sheet1!$A1847)</f>
        <v>20</v>
      </c>
      <c r="K1847" s="18" t="s">
        <v>2023</v>
      </c>
      <c r="L1847" s="19" t="str">
        <f t="shared" si="57"/>
        <v>Premium Customer</v>
      </c>
    </row>
    <row r="1848" spans="1:12" ht="15.75" customHeight="1" x14ac:dyDescent="0.3">
      <c r="A1848" s="7">
        <v>45725</v>
      </c>
      <c r="B1848" s="8" t="s">
        <v>449</v>
      </c>
      <c r="C1848" s="8" t="s">
        <v>8</v>
      </c>
      <c r="D1848" s="8" t="s">
        <v>9</v>
      </c>
      <c r="E1848" s="9">
        <v>24.71</v>
      </c>
      <c r="F1848" s="8" t="s">
        <v>11</v>
      </c>
      <c r="G1848" s="8">
        <v>74.13</v>
      </c>
      <c r="H1848" s="10">
        <f t="shared" si="56"/>
        <v>3</v>
      </c>
      <c r="I1848" s="10">
        <f>YEAR(Sheet1!$A1848)</f>
        <v>2025</v>
      </c>
      <c r="J1848" s="10">
        <f>DAY(Sheet1!$A1848)</f>
        <v>9</v>
      </c>
      <c r="K1848" s="12" t="s">
        <v>2022</v>
      </c>
      <c r="L1848" s="13" t="str">
        <f t="shared" si="57"/>
        <v>Premium Customer</v>
      </c>
    </row>
    <row r="1849" spans="1:12" ht="15.75" customHeight="1" x14ac:dyDescent="0.3">
      <c r="A1849" s="14">
        <v>45654</v>
      </c>
      <c r="B1849" s="15" t="s">
        <v>1571</v>
      </c>
      <c r="C1849" s="15" t="s">
        <v>18</v>
      </c>
      <c r="D1849" s="15" t="s">
        <v>19</v>
      </c>
      <c r="E1849" s="16">
        <v>24.75</v>
      </c>
      <c r="F1849" s="15" t="s">
        <v>10</v>
      </c>
      <c r="G1849" s="15">
        <v>74.25</v>
      </c>
      <c r="H1849" s="17">
        <f t="shared" si="56"/>
        <v>12</v>
      </c>
      <c r="I1849" s="17">
        <f>YEAR(Sheet1!$A1849)</f>
        <v>2024</v>
      </c>
      <c r="J1849" s="17">
        <f>DAY(Sheet1!$A1849)</f>
        <v>28</v>
      </c>
      <c r="K1849" s="18" t="s">
        <v>2022</v>
      </c>
      <c r="L1849" s="19" t="str">
        <f t="shared" si="57"/>
        <v>Premium Customer</v>
      </c>
    </row>
    <row r="1850" spans="1:12" ht="15.75" customHeight="1" x14ac:dyDescent="0.3">
      <c r="A1850" s="7">
        <v>45430</v>
      </c>
      <c r="B1850" s="8" t="s">
        <v>811</v>
      </c>
      <c r="C1850" s="8" t="s">
        <v>8</v>
      </c>
      <c r="D1850" s="8" t="s">
        <v>14</v>
      </c>
      <c r="E1850" s="9">
        <v>24.88</v>
      </c>
      <c r="F1850" s="8" t="s">
        <v>11</v>
      </c>
      <c r="G1850" s="8">
        <v>74.64</v>
      </c>
      <c r="H1850" s="10">
        <f t="shared" si="56"/>
        <v>5</v>
      </c>
      <c r="I1850" s="10">
        <f>YEAR(Sheet1!$A1850)</f>
        <v>2024</v>
      </c>
      <c r="J1850" s="10">
        <f>DAY(Sheet1!$A1850)</f>
        <v>18</v>
      </c>
      <c r="K1850" s="12" t="s">
        <v>2023</v>
      </c>
      <c r="L1850" s="13" t="str">
        <f t="shared" si="57"/>
        <v>Premium Customer</v>
      </c>
    </row>
    <row r="1851" spans="1:12" ht="15.75" customHeight="1" x14ac:dyDescent="0.3">
      <c r="A1851" s="14">
        <v>45584</v>
      </c>
      <c r="B1851" s="15" t="s">
        <v>37</v>
      </c>
      <c r="C1851" s="15" t="s">
        <v>8</v>
      </c>
      <c r="D1851" s="15" t="s">
        <v>19</v>
      </c>
      <c r="E1851" s="16">
        <v>24.91</v>
      </c>
      <c r="F1851" s="15" t="s">
        <v>10</v>
      </c>
      <c r="G1851" s="15">
        <v>74.73</v>
      </c>
      <c r="H1851" s="17">
        <f t="shared" si="56"/>
        <v>10</v>
      </c>
      <c r="I1851" s="17">
        <f>YEAR(Sheet1!$A1851)</f>
        <v>2024</v>
      </c>
      <c r="J1851" s="17">
        <f>DAY(Sheet1!$A1851)</f>
        <v>19</v>
      </c>
      <c r="K1851" s="18" t="s">
        <v>2023</v>
      </c>
      <c r="L1851" s="19" t="str">
        <f t="shared" si="57"/>
        <v>Premium Customer</v>
      </c>
    </row>
    <row r="1852" spans="1:12" ht="15.75" customHeight="1" x14ac:dyDescent="0.3">
      <c r="A1852" s="7">
        <v>45761</v>
      </c>
      <c r="B1852" s="8" t="s">
        <v>1381</v>
      </c>
      <c r="C1852" s="8" t="s">
        <v>8</v>
      </c>
      <c r="D1852" s="8" t="s">
        <v>14</v>
      </c>
      <c r="E1852" s="9">
        <v>24.91</v>
      </c>
      <c r="F1852" s="8" t="s">
        <v>10</v>
      </c>
      <c r="G1852" s="8">
        <v>74.73</v>
      </c>
      <c r="H1852" s="10">
        <f t="shared" si="56"/>
        <v>4</v>
      </c>
      <c r="I1852" s="10">
        <f>YEAR(Sheet1!$A1852)</f>
        <v>2025</v>
      </c>
      <c r="J1852" s="10">
        <f>DAY(Sheet1!$A1852)</f>
        <v>14</v>
      </c>
      <c r="K1852" s="12" t="s">
        <v>2022</v>
      </c>
      <c r="L1852" s="13" t="str">
        <f t="shared" si="57"/>
        <v>Premium Customer</v>
      </c>
    </row>
    <row r="1853" spans="1:12" ht="15.75" customHeight="1" x14ac:dyDescent="0.3">
      <c r="A1853" s="14">
        <v>45443</v>
      </c>
      <c r="B1853" s="15" t="s">
        <v>1693</v>
      </c>
      <c r="C1853" s="15" t="s">
        <v>18</v>
      </c>
      <c r="D1853" s="15" t="s">
        <v>14</v>
      </c>
      <c r="E1853" s="16">
        <v>25</v>
      </c>
      <c r="F1853" s="15" t="s">
        <v>10</v>
      </c>
      <c r="G1853" s="15">
        <v>75</v>
      </c>
      <c r="H1853" s="17">
        <f t="shared" si="56"/>
        <v>5</v>
      </c>
      <c r="I1853" s="17">
        <f>YEAR(Sheet1!$A1853)</f>
        <v>2024</v>
      </c>
      <c r="J1853" s="17">
        <f>DAY(Sheet1!$A1853)</f>
        <v>31</v>
      </c>
      <c r="K1853" s="18" t="s">
        <v>2022</v>
      </c>
      <c r="L1853" s="19" t="str">
        <f t="shared" si="57"/>
        <v>Premium Customer</v>
      </c>
    </row>
    <row r="1854" spans="1:12" ht="15.75" customHeight="1" x14ac:dyDescent="0.3">
      <c r="A1854" s="7">
        <v>45458</v>
      </c>
      <c r="B1854" s="8" t="s">
        <v>1064</v>
      </c>
      <c r="C1854" s="8" t="s">
        <v>18</v>
      </c>
      <c r="D1854" s="8" t="s">
        <v>14</v>
      </c>
      <c r="E1854" s="9">
        <v>25</v>
      </c>
      <c r="F1854" s="8" t="s">
        <v>11</v>
      </c>
      <c r="G1854" s="8">
        <v>75</v>
      </c>
      <c r="H1854" s="10">
        <f t="shared" si="56"/>
        <v>6</v>
      </c>
      <c r="I1854" s="10">
        <f>YEAR(Sheet1!$A1854)</f>
        <v>2024</v>
      </c>
      <c r="J1854" s="10">
        <f>DAY(Sheet1!$A1854)</f>
        <v>15</v>
      </c>
      <c r="K1854" s="12" t="s">
        <v>2022</v>
      </c>
      <c r="L1854" s="13" t="str">
        <f t="shared" si="57"/>
        <v>Premium Customer</v>
      </c>
    </row>
    <row r="1855" spans="1:12" ht="15.75" customHeight="1" x14ac:dyDescent="0.3">
      <c r="A1855" s="14">
        <v>45627</v>
      </c>
      <c r="B1855" s="15" t="s">
        <v>896</v>
      </c>
      <c r="C1855" s="15" t="s">
        <v>24</v>
      </c>
      <c r="D1855" s="15" t="s">
        <v>16</v>
      </c>
      <c r="E1855" s="16">
        <v>25</v>
      </c>
      <c r="F1855" s="15" t="s">
        <v>10</v>
      </c>
      <c r="G1855" s="15">
        <v>75</v>
      </c>
      <c r="H1855" s="17">
        <f t="shared" si="56"/>
        <v>12</v>
      </c>
      <c r="I1855" s="17">
        <f>YEAR(Sheet1!$A1855)</f>
        <v>2024</v>
      </c>
      <c r="J1855" s="17">
        <f>DAY(Sheet1!$A1855)</f>
        <v>1</v>
      </c>
      <c r="K1855" s="18" t="s">
        <v>2023</v>
      </c>
      <c r="L1855" s="19" t="str">
        <f t="shared" si="57"/>
        <v>Premium Customer</v>
      </c>
    </row>
    <row r="1856" spans="1:12" ht="15.75" customHeight="1" x14ac:dyDescent="0.3">
      <c r="A1856" s="7">
        <v>45668</v>
      </c>
      <c r="B1856" s="8" t="s">
        <v>1475</v>
      </c>
      <c r="C1856" s="8" t="s">
        <v>24</v>
      </c>
      <c r="D1856" s="8" t="s">
        <v>9</v>
      </c>
      <c r="E1856" s="9">
        <v>25.01</v>
      </c>
      <c r="F1856" s="8" t="s">
        <v>11</v>
      </c>
      <c r="G1856" s="8">
        <v>75.03</v>
      </c>
      <c r="H1856" s="10">
        <f t="shared" si="56"/>
        <v>1</v>
      </c>
      <c r="I1856" s="10">
        <f>YEAR(Sheet1!$A1856)</f>
        <v>2025</v>
      </c>
      <c r="J1856" s="10">
        <f>DAY(Sheet1!$A1856)</f>
        <v>11</v>
      </c>
      <c r="K1856" s="12" t="s">
        <v>2023</v>
      </c>
      <c r="L1856" s="13" t="str">
        <f t="shared" si="57"/>
        <v>Premium Customer</v>
      </c>
    </row>
    <row r="1857" spans="1:12" ht="15.75" customHeight="1" x14ac:dyDescent="0.3">
      <c r="A1857" s="14">
        <v>45478</v>
      </c>
      <c r="B1857" s="15" t="s">
        <v>1577</v>
      </c>
      <c r="C1857" s="15" t="s">
        <v>13</v>
      </c>
      <c r="D1857" s="15" t="s">
        <v>9</v>
      </c>
      <c r="E1857" s="16">
        <v>25.09</v>
      </c>
      <c r="F1857" s="15" t="s">
        <v>10</v>
      </c>
      <c r="G1857" s="15">
        <v>75.27</v>
      </c>
      <c r="H1857" s="17">
        <f t="shared" si="56"/>
        <v>7</v>
      </c>
      <c r="I1857" s="17">
        <f>YEAR(Sheet1!$A1857)</f>
        <v>2024</v>
      </c>
      <c r="J1857" s="17">
        <f>DAY(Sheet1!$A1857)</f>
        <v>5</v>
      </c>
      <c r="K1857" s="18" t="s">
        <v>2022</v>
      </c>
      <c r="L1857" s="19" t="str">
        <f t="shared" si="57"/>
        <v>Premium Customer</v>
      </c>
    </row>
    <row r="1858" spans="1:12" ht="15.75" customHeight="1" x14ac:dyDescent="0.3">
      <c r="A1858" s="7">
        <v>45536</v>
      </c>
      <c r="B1858" s="8" t="s">
        <v>1780</v>
      </c>
      <c r="C1858" s="8" t="s">
        <v>18</v>
      </c>
      <c r="D1858" s="8" t="s">
        <v>9</v>
      </c>
      <c r="E1858" s="9">
        <v>25.12</v>
      </c>
      <c r="F1858" s="8" t="s">
        <v>10</v>
      </c>
      <c r="G1858" s="8">
        <v>75.36</v>
      </c>
      <c r="H1858" s="10">
        <f t="shared" ref="H1858:H1921" si="58">MONTH(A1858)</f>
        <v>9</v>
      </c>
      <c r="I1858" s="10">
        <f>YEAR(Sheet1!$A1858)</f>
        <v>2024</v>
      </c>
      <c r="J1858" s="10">
        <f>DAY(Sheet1!$A1858)</f>
        <v>1</v>
      </c>
      <c r="K1858" s="12" t="s">
        <v>2022</v>
      </c>
      <c r="L1858" s="13" t="str">
        <f t="shared" ref="L1858:L1921" si="59">IF(G1858&gt;50,"Premium Customer","Regular Customer")</f>
        <v>Premium Customer</v>
      </c>
    </row>
    <row r="1859" spans="1:12" ht="15.75" customHeight="1" x14ac:dyDescent="0.3">
      <c r="A1859" s="14">
        <v>45433</v>
      </c>
      <c r="B1859" s="15" t="s">
        <v>1068</v>
      </c>
      <c r="C1859" s="15" t="s">
        <v>8</v>
      </c>
      <c r="D1859" s="15" t="s">
        <v>16</v>
      </c>
      <c r="E1859" s="16">
        <v>25.13</v>
      </c>
      <c r="F1859" s="15" t="s">
        <v>10</v>
      </c>
      <c r="G1859" s="15">
        <v>75.39</v>
      </c>
      <c r="H1859" s="17">
        <f t="shared" si="58"/>
        <v>5</v>
      </c>
      <c r="I1859" s="17">
        <f>YEAR(Sheet1!$A1859)</f>
        <v>2024</v>
      </c>
      <c r="J1859" s="17">
        <f>DAY(Sheet1!$A1859)</f>
        <v>21</v>
      </c>
      <c r="K1859" s="18" t="s">
        <v>2023</v>
      </c>
      <c r="L1859" s="19" t="str">
        <f t="shared" si="59"/>
        <v>Premium Customer</v>
      </c>
    </row>
    <row r="1860" spans="1:12" ht="15.75" customHeight="1" x14ac:dyDescent="0.3">
      <c r="A1860" s="7">
        <v>45580</v>
      </c>
      <c r="B1860" s="8" t="s">
        <v>1483</v>
      </c>
      <c r="C1860" s="8" t="s">
        <v>24</v>
      </c>
      <c r="D1860" s="8" t="s">
        <v>14</v>
      </c>
      <c r="E1860" s="9">
        <v>25.16</v>
      </c>
      <c r="F1860" s="8" t="s">
        <v>11</v>
      </c>
      <c r="G1860" s="8">
        <v>75.48</v>
      </c>
      <c r="H1860" s="10">
        <f t="shared" si="58"/>
        <v>10</v>
      </c>
      <c r="I1860" s="10">
        <f>YEAR(Sheet1!$A1860)</f>
        <v>2024</v>
      </c>
      <c r="J1860" s="10">
        <f>DAY(Sheet1!$A1860)</f>
        <v>15</v>
      </c>
      <c r="K1860" s="12" t="s">
        <v>2022</v>
      </c>
      <c r="L1860" s="13" t="str">
        <f t="shared" si="59"/>
        <v>Premium Customer</v>
      </c>
    </row>
    <row r="1861" spans="1:12" ht="15.75" customHeight="1" x14ac:dyDescent="0.3">
      <c r="A1861" s="14">
        <v>45766</v>
      </c>
      <c r="B1861" s="15" t="s">
        <v>2016</v>
      </c>
      <c r="C1861" s="15" t="s">
        <v>24</v>
      </c>
      <c r="D1861" s="15" t="s">
        <v>16</v>
      </c>
      <c r="E1861" s="16">
        <v>25.17</v>
      </c>
      <c r="F1861" s="15" t="s">
        <v>10</v>
      </c>
      <c r="G1861" s="15">
        <v>75.510000000000005</v>
      </c>
      <c r="H1861" s="17">
        <f t="shared" si="58"/>
        <v>4</v>
      </c>
      <c r="I1861" s="17">
        <f>YEAR(Sheet1!$A1861)</f>
        <v>2025</v>
      </c>
      <c r="J1861" s="17">
        <f>DAY(Sheet1!$A1861)</f>
        <v>19</v>
      </c>
      <c r="K1861" s="18" t="s">
        <v>2023</v>
      </c>
      <c r="L1861" s="19" t="str">
        <f t="shared" si="59"/>
        <v>Premium Customer</v>
      </c>
    </row>
    <row r="1862" spans="1:12" ht="15.75" customHeight="1" x14ac:dyDescent="0.3">
      <c r="A1862" s="7">
        <v>45515</v>
      </c>
      <c r="B1862" s="8" t="s">
        <v>1486</v>
      </c>
      <c r="C1862" s="8" t="s">
        <v>13</v>
      </c>
      <c r="D1862" s="8" t="s">
        <v>9</v>
      </c>
      <c r="E1862" s="9">
        <v>25.2</v>
      </c>
      <c r="F1862" s="8" t="s">
        <v>10</v>
      </c>
      <c r="G1862" s="8">
        <v>75.599999999999994</v>
      </c>
      <c r="H1862" s="10">
        <f t="shared" si="58"/>
        <v>8</v>
      </c>
      <c r="I1862" s="10">
        <f>YEAR(Sheet1!$A1862)</f>
        <v>2024</v>
      </c>
      <c r="J1862" s="10">
        <f>DAY(Sheet1!$A1862)</f>
        <v>11</v>
      </c>
      <c r="K1862" s="12" t="s">
        <v>2022</v>
      </c>
      <c r="L1862" s="13" t="str">
        <f t="shared" si="59"/>
        <v>Premium Customer</v>
      </c>
    </row>
    <row r="1863" spans="1:12" ht="15.75" customHeight="1" x14ac:dyDescent="0.3">
      <c r="A1863" s="14">
        <v>45719</v>
      </c>
      <c r="B1863" s="15" t="s">
        <v>263</v>
      </c>
      <c r="C1863" s="15" t="s">
        <v>13</v>
      </c>
      <c r="D1863" s="15" t="s">
        <v>19</v>
      </c>
      <c r="E1863" s="16">
        <v>25.22</v>
      </c>
      <c r="F1863" s="15" t="s">
        <v>11</v>
      </c>
      <c r="G1863" s="15">
        <v>75.66</v>
      </c>
      <c r="H1863" s="17">
        <f t="shared" si="58"/>
        <v>3</v>
      </c>
      <c r="I1863" s="17">
        <f>YEAR(Sheet1!$A1863)</f>
        <v>2025</v>
      </c>
      <c r="J1863" s="17">
        <f>DAY(Sheet1!$A1863)</f>
        <v>3</v>
      </c>
      <c r="K1863" s="18" t="s">
        <v>2023</v>
      </c>
      <c r="L1863" s="19" t="str">
        <f t="shared" si="59"/>
        <v>Premium Customer</v>
      </c>
    </row>
    <row r="1864" spans="1:12" ht="15.75" customHeight="1" x14ac:dyDescent="0.3">
      <c r="A1864" s="7">
        <v>45670</v>
      </c>
      <c r="B1864" s="8" t="s">
        <v>1924</v>
      </c>
      <c r="C1864" s="8" t="s">
        <v>18</v>
      </c>
      <c r="D1864" s="8" t="s">
        <v>9</v>
      </c>
      <c r="E1864" s="9">
        <v>25.25</v>
      </c>
      <c r="F1864" s="8" t="s">
        <v>10</v>
      </c>
      <c r="G1864" s="8">
        <v>75.75</v>
      </c>
      <c r="H1864" s="10">
        <f t="shared" si="58"/>
        <v>1</v>
      </c>
      <c r="I1864" s="10">
        <f>YEAR(Sheet1!$A1864)</f>
        <v>2025</v>
      </c>
      <c r="J1864" s="10">
        <f>DAY(Sheet1!$A1864)</f>
        <v>13</v>
      </c>
      <c r="K1864" s="12" t="s">
        <v>2022</v>
      </c>
      <c r="L1864" s="13" t="str">
        <f t="shared" si="59"/>
        <v>Premium Customer</v>
      </c>
    </row>
    <row r="1865" spans="1:12" ht="15.75" customHeight="1" x14ac:dyDescent="0.3">
      <c r="A1865" s="14">
        <v>45491</v>
      </c>
      <c r="B1865" s="15" t="s">
        <v>1876</v>
      </c>
      <c r="C1865" s="15" t="s">
        <v>13</v>
      </c>
      <c r="D1865" s="15" t="s">
        <v>16</v>
      </c>
      <c r="E1865" s="16">
        <v>25.32</v>
      </c>
      <c r="F1865" s="15" t="s">
        <v>11</v>
      </c>
      <c r="G1865" s="15">
        <v>75.959999999999994</v>
      </c>
      <c r="H1865" s="17">
        <f t="shared" si="58"/>
        <v>7</v>
      </c>
      <c r="I1865" s="17">
        <f>YEAR(Sheet1!$A1865)</f>
        <v>2024</v>
      </c>
      <c r="J1865" s="17">
        <f>DAY(Sheet1!$A1865)</f>
        <v>18</v>
      </c>
      <c r="K1865" s="18" t="s">
        <v>2023</v>
      </c>
      <c r="L1865" s="19" t="str">
        <f t="shared" si="59"/>
        <v>Premium Customer</v>
      </c>
    </row>
    <row r="1866" spans="1:12" ht="15.75" customHeight="1" x14ac:dyDescent="0.3">
      <c r="A1866" s="7">
        <v>45766</v>
      </c>
      <c r="B1866" s="8" t="s">
        <v>549</v>
      </c>
      <c r="C1866" s="8" t="s">
        <v>13</v>
      </c>
      <c r="D1866" s="8" t="s">
        <v>9</v>
      </c>
      <c r="E1866" s="9">
        <v>25.36</v>
      </c>
      <c r="F1866" s="8" t="s">
        <v>10</v>
      </c>
      <c r="G1866" s="8">
        <v>76.08</v>
      </c>
      <c r="H1866" s="10">
        <f t="shared" si="58"/>
        <v>4</v>
      </c>
      <c r="I1866" s="10">
        <f>YEAR(Sheet1!$A1866)</f>
        <v>2025</v>
      </c>
      <c r="J1866" s="10">
        <f>DAY(Sheet1!$A1866)</f>
        <v>19</v>
      </c>
      <c r="K1866" s="12" t="s">
        <v>2022</v>
      </c>
      <c r="L1866" s="13" t="str">
        <f t="shared" si="59"/>
        <v>Premium Customer</v>
      </c>
    </row>
    <row r="1867" spans="1:12" ht="15.75" customHeight="1" x14ac:dyDescent="0.3">
      <c r="A1867" s="14">
        <v>45532</v>
      </c>
      <c r="B1867" s="15" t="s">
        <v>53</v>
      </c>
      <c r="C1867" s="15" t="s">
        <v>24</v>
      </c>
      <c r="D1867" s="15" t="s">
        <v>14</v>
      </c>
      <c r="E1867" s="16">
        <v>25.37</v>
      </c>
      <c r="F1867" s="15" t="s">
        <v>11</v>
      </c>
      <c r="G1867" s="15">
        <v>76.11</v>
      </c>
      <c r="H1867" s="17">
        <f t="shared" si="58"/>
        <v>8</v>
      </c>
      <c r="I1867" s="17">
        <f>YEAR(Sheet1!$A1867)</f>
        <v>2024</v>
      </c>
      <c r="J1867" s="17">
        <f>DAY(Sheet1!$A1867)</f>
        <v>28</v>
      </c>
      <c r="K1867" s="18" t="s">
        <v>2022</v>
      </c>
      <c r="L1867" s="19" t="str">
        <f t="shared" si="59"/>
        <v>Premium Customer</v>
      </c>
    </row>
    <row r="1868" spans="1:12" ht="15.75" customHeight="1" x14ac:dyDescent="0.3">
      <c r="A1868" s="7">
        <v>45575</v>
      </c>
      <c r="B1868" s="8" t="s">
        <v>1672</v>
      </c>
      <c r="C1868" s="8" t="s">
        <v>24</v>
      </c>
      <c r="D1868" s="8" t="s">
        <v>14</v>
      </c>
      <c r="E1868" s="9">
        <v>25.38</v>
      </c>
      <c r="F1868" s="8" t="s">
        <v>10</v>
      </c>
      <c r="G1868" s="8">
        <v>76.14</v>
      </c>
      <c r="H1868" s="10">
        <f t="shared" si="58"/>
        <v>10</v>
      </c>
      <c r="I1868" s="10">
        <f>YEAR(Sheet1!$A1868)</f>
        <v>2024</v>
      </c>
      <c r="J1868" s="10">
        <f>DAY(Sheet1!$A1868)</f>
        <v>10</v>
      </c>
      <c r="K1868" s="12" t="s">
        <v>2023</v>
      </c>
      <c r="L1868" s="13" t="str">
        <f t="shared" si="59"/>
        <v>Premium Customer</v>
      </c>
    </row>
    <row r="1869" spans="1:12" ht="15.75" customHeight="1" x14ac:dyDescent="0.3">
      <c r="A1869" s="14">
        <v>45435</v>
      </c>
      <c r="B1869" s="15" t="s">
        <v>696</v>
      </c>
      <c r="C1869" s="15" t="s">
        <v>18</v>
      </c>
      <c r="D1869" s="15" t="s">
        <v>16</v>
      </c>
      <c r="E1869" s="16">
        <v>25.4</v>
      </c>
      <c r="F1869" s="15" t="s">
        <v>11</v>
      </c>
      <c r="G1869" s="15">
        <v>76.2</v>
      </c>
      <c r="H1869" s="17">
        <f t="shared" si="58"/>
        <v>5</v>
      </c>
      <c r="I1869" s="17">
        <f>YEAR(Sheet1!$A1869)</f>
        <v>2024</v>
      </c>
      <c r="J1869" s="17">
        <f>DAY(Sheet1!$A1869)</f>
        <v>23</v>
      </c>
      <c r="K1869" s="18" t="s">
        <v>2022</v>
      </c>
      <c r="L1869" s="19" t="str">
        <f t="shared" si="59"/>
        <v>Premium Customer</v>
      </c>
    </row>
    <row r="1870" spans="1:12" ht="15.75" customHeight="1" x14ac:dyDescent="0.3">
      <c r="A1870" s="7">
        <v>45643</v>
      </c>
      <c r="B1870" s="8" t="s">
        <v>569</v>
      </c>
      <c r="C1870" s="8" t="s">
        <v>18</v>
      </c>
      <c r="D1870" s="8" t="s">
        <v>9</v>
      </c>
      <c r="E1870" s="9">
        <v>25.4</v>
      </c>
      <c r="F1870" s="8" t="s">
        <v>10</v>
      </c>
      <c r="G1870" s="8">
        <v>76.2</v>
      </c>
      <c r="H1870" s="10">
        <f t="shared" si="58"/>
        <v>12</v>
      </c>
      <c r="I1870" s="10">
        <f>YEAR(Sheet1!$A1870)</f>
        <v>2024</v>
      </c>
      <c r="J1870" s="10">
        <f>DAY(Sheet1!$A1870)</f>
        <v>17</v>
      </c>
      <c r="K1870" s="12" t="s">
        <v>2022</v>
      </c>
      <c r="L1870" s="13" t="str">
        <f t="shared" si="59"/>
        <v>Premium Customer</v>
      </c>
    </row>
    <row r="1871" spans="1:12" ht="15.75" customHeight="1" x14ac:dyDescent="0.3">
      <c r="A1871" s="14">
        <v>45573</v>
      </c>
      <c r="B1871" s="15" t="s">
        <v>1023</v>
      </c>
      <c r="C1871" s="15" t="s">
        <v>18</v>
      </c>
      <c r="D1871" s="15" t="s">
        <v>16</v>
      </c>
      <c r="E1871" s="16">
        <v>25.42</v>
      </c>
      <c r="F1871" s="15" t="s">
        <v>11</v>
      </c>
      <c r="G1871" s="15">
        <v>76.260000000000005</v>
      </c>
      <c r="H1871" s="17">
        <f t="shared" si="58"/>
        <v>10</v>
      </c>
      <c r="I1871" s="17">
        <f>YEAR(Sheet1!$A1871)</f>
        <v>2024</v>
      </c>
      <c r="J1871" s="17">
        <f>DAY(Sheet1!$A1871)</f>
        <v>8</v>
      </c>
      <c r="K1871" s="18" t="s">
        <v>2023</v>
      </c>
      <c r="L1871" s="19" t="str">
        <f t="shared" si="59"/>
        <v>Premium Customer</v>
      </c>
    </row>
    <row r="1872" spans="1:12" ht="15.75" customHeight="1" x14ac:dyDescent="0.3">
      <c r="A1872" s="7">
        <v>45611</v>
      </c>
      <c r="B1872" s="8" t="s">
        <v>734</v>
      </c>
      <c r="C1872" s="8" t="s">
        <v>13</v>
      </c>
      <c r="D1872" s="8" t="s">
        <v>14</v>
      </c>
      <c r="E1872" s="9">
        <v>25.51</v>
      </c>
      <c r="F1872" s="8" t="s">
        <v>10</v>
      </c>
      <c r="G1872" s="8">
        <v>76.53</v>
      </c>
      <c r="H1872" s="10">
        <f t="shared" si="58"/>
        <v>11</v>
      </c>
      <c r="I1872" s="10">
        <f>YEAR(Sheet1!$A1872)</f>
        <v>2024</v>
      </c>
      <c r="J1872" s="10">
        <f>DAY(Sheet1!$A1872)</f>
        <v>15</v>
      </c>
      <c r="K1872" s="12" t="s">
        <v>2023</v>
      </c>
      <c r="L1872" s="13" t="str">
        <f t="shared" si="59"/>
        <v>Premium Customer</v>
      </c>
    </row>
    <row r="1873" spans="1:12" ht="15.75" customHeight="1" x14ac:dyDescent="0.3">
      <c r="A1873" s="14">
        <v>45582</v>
      </c>
      <c r="B1873" s="15" t="s">
        <v>1400</v>
      </c>
      <c r="C1873" s="15" t="s">
        <v>8</v>
      </c>
      <c r="D1873" s="15" t="s">
        <v>16</v>
      </c>
      <c r="E1873" s="16">
        <v>25.52</v>
      </c>
      <c r="F1873" s="15" t="s">
        <v>11</v>
      </c>
      <c r="G1873" s="15">
        <v>76.56</v>
      </c>
      <c r="H1873" s="17">
        <f t="shared" si="58"/>
        <v>10</v>
      </c>
      <c r="I1873" s="17">
        <f>YEAR(Sheet1!$A1873)</f>
        <v>2024</v>
      </c>
      <c r="J1873" s="17">
        <f>DAY(Sheet1!$A1873)</f>
        <v>17</v>
      </c>
      <c r="K1873" s="18" t="s">
        <v>2023</v>
      </c>
      <c r="L1873" s="19" t="str">
        <f t="shared" si="59"/>
        <v>Premium Customer</v>
      </c>
    </row>
    <row r="1874" spans="1:12" ht="15.75" customHeight="1" x14ac:dyDescent="0.3">
      <c r="A1874" s="7">
        <v>45599</v>
      </c>
      <c r="B1874" s="8" t="s">
        <v>566</v>
      </c>
      <c r="C1874" s="8" t="s">
        <v>24</v>
      </c>
      <c r="D1874" s="8" t="s">
        <v>14</v>
      </c>
      <c r="E1874" s="9">
        <v>25.55</v>
      </c>
      <c r="F1874" s="8" t="s">
        <v>11</v>
      </c>
      <c r="G1874" s="8">
        <v>76.650000000000006</v>
      </c>
      <c r="H1874" s="10">
        <f t="shared" si="58"/>
        <v>11</v>
      </c>
      <c r="I1874" s="10">
        <f>YEAR(Sheet1!$A1874)</f>
        <v>2024</v>
      </c>
      <c r="J1874" s="10">
        <f>DAY(Sheet1!$A1874)</f>
        <v>3</v>
      </c>
      <c r="K1874" s="12" t="s">
        <v>2023</v>
      </c>
      <c r="L1874" s="13" t="str">
        <f t="shared" si="59"/>
        <v>Premium Customer</v>
      </c>
    </row>
    <row r="1875" spans="1:12" ht="15.75" customHeight="1" x14ac:dyDescent="0.3">
      <c r="A1875" s="14">
        <v>45703</v>
      </c>
      <c r="B1875" s="15" t="s">
        <v>1392</v>
      </c>
      <c r="C1875" s="15" t="s">
        <v>24</v>
      </c>
      <c r="D1875" s="15" t="s">
        <v>9</v>
      </c>
      <c r="E1875" s="16">
        <v>25.56</v>
      </c>
      <c r="F1875" s="15" t="s">
        <v>11</v>
      </c>
      <c r="G1875" s="15">
        <v>76.680000000000007</v>
      </c>
      <c r="H1875" s="17">
        <f t="shared" si="58"/>
        <v>2</v>
      </c>
      <c r="I1875" s="17">
        <f>YEAR(Sheet1!$A1875)</f>
        <v>2025</v>
      </c>
      <c r="J1875" s="17">
        <f>DAY(Sheet1!$A1875)</f>
        <v>15</v>
      </c>
      <c r="K1875" s="18" t="s">
        <v>2022</v>
      </c>
      <c r="L1875" s="19" t="str">
        <f t="shared" si="59"/>
        <v>Premium Customer</v>
      </c>
    </row>
    <row r="1876" spans="1:12" ht="15.75" customHeight="1" x14ac:dyDescent="0.3">
      <c r="A1876" s="7">
        <v>45740</v>
      </c>
      <c r="B1876" s="8" t="s">
        <v>1028</v>
      </c>
      <c r="C1876" s="8" t="s">
        <v>24</v>
      </c>
      <c r="D1876" s="8" t="s">
        <v>14</v>
      </c>
      <c r="E1876" s="9">
        <v>25.61</v>
      </c>
      <c r="F1876" s="8" t="s">
        <v>10</v>
      </c>
      <c r="G1876" s="8">
        <v>76.83</v>
      </c>
      <c r="H1876" s="10">
        <f t="shared" si="58"/>
        <v>3</v>
      </c>
      <c r="I1876" s="10">
        <f>YEAR(Sheet1!$A1876)</f>
        <v>2025</v>
      </c>
      <c r="J1876" s="10">
        <f>DAY(Sheet1!$A1876)</f>
        <v>24</v>
      </c>
      <c r="K1876" s="12" t="s">
        <v>2023</v>
      </c>
      <c r="L1876" s="13" t="str">
        <f t="shared" si="59"/>
        <v>Premium Customer</v>
      </c>
    </row>
    <row r="1877" spans="1:12" ht="15.75" customHeight="1" x14ac:dyDescent="0.3">
      <c r="A1877" s="14">
        <v>45658</v>
      </c>
      <c r="B1877" s="15" t="s">
        <v>1021</v>
      </c>
      <c r="C1877" s="15" t="s">
        <v>13</v>
      </c>
      <c r="D1877" s="15" t="s">
        <v>14</v>
      </c>
      <c r="E1877" s="16">
        <v>25.72</v>
      </c>
      <c r="F1877" s="15" t="s">
        <v>10</v>
      </c>
      <c r="G1877" s="15">
        <v>77.16</v>
      </c>
      <c r="H1877" s="17">
        <f t="shared" si="58"/>
        <v>1</v>
      </c>
      <c r="I1877" s="17">
        <f>YEAR(Sheet1!$A1877)</f>
        <v>2025</v>
      </c>
      <c r="J1877" s="17">
        <f>DAY(Sheet1!$A1877)</f>
        <v>1</v>
      </c>
      <c r="K1877" s="18" t="s">
        <v>2022</v>
      </c>
      <c r="L1877" s="19" t="str">
        <f t="shared" si="59"/>
        <v>Premium Customer</v>
      </c>
    </row>
    <row r="1878" spans="1:12" ht="15.75" customHeight="1" x14ac:dyDescent="0.3">
      <c r="A1878" s="7">
        <v>45701</v>
      </c>
      <c r="B1878" s="8" t="s">
        <v>1748</v>
      </c>
      <c r="C1878" s="8" t="s">
        <v>18</v>
      </c>
      <c r="D1878" s="8" t="s">
        <v>16</v>
      </c>
      <c r="E1878" s="9">
        <v>25.73</v>
      </c>
      <c r="F1878" s="8" t="s">
        <v>10</v>
      </c>
      <c r="G1878" s="8">
        <v>77.19</v>
      </c>
      <c r="H1878" s="10">
        <f t="shared" si="58"/>
        <v>2</v>
      </c>
      <c r="I1878" s="10">
        <f>YEAR(Sheet1!$A1878)</f>
        <v>2025</v>
      </c>
      <c r="J1878" s="10">
        <f>DAY(Sheet1!$A1878)</f>
        <v>13</v>
      </c>
      <c r="K1878" s="12" t="s">
        <v>2022</v>
      </c>
      <c r="L1878" s="13" t="str">
        <f t="shared" si="59"/>
        <v>Premium Customer</v>
      </c>
    </row>
    <row r="1879" spans="1:12" ht="15.75" customHeight="1" x14ac:dyDescent="0.3">
      <c r="A1879" s="14">
        <v>45677</v>
      </c>
      <c r="B1879" s="15" t="s">
        <v>493</v>
      </c>
      <c r="C1879" s="15" t="s">
        <v>8</v>
      </c>
      <c r="D1879" s="15" t="s">
        <v>14</v>
      </c>
      <c r="E1879" s="16">
        <v>25.81</v>
      </c>
      <c r="F1879" s="15" t="s">
        <v>11</v>
      </c>
      <c r="G1879" s="15">
        <v>77.430000000000007</v>
      </c>
      <c r="H1879" s="17">
        <f t="shared" si="58"/>
        <v>1</v>
      </c>
      <c r="I1879" s="17">
        <f>YEAR(Sheet1!$A1879)</f>
        <v>2025</v>
      </c>
      <c r="J1879" s="17">
        <f>DAY(Sheet1!$A1879)</f>
        <v>20</v>
      </c>
      <c r="K1879" s="18" t="s">
        <v>2022</v>
      </c>
      <c r="L1879" s="19" t="str">
        <f t="shared" si="59"/>
        <v>Premium Customer</v>
      </c>
    </row>
    <row r="1880" spans="1:12" ht="15.75" customHeight="1" x14ac:dyDescent="0.3">
      <c r="A1880" s="7">
        <v>45686</v>
      </c>
      <c r="B1880" s="8" t="s">
        <v>906</v>
      </c>
      <c r="C1880" s="8" t="s">
        <v>18</v>
      </c>
      <c r="D1880" s="8" t="s">
        <v>16</v>
      </c>
      <c r="E1880" s="9">
        <v>25.85</v>
      </c>
      <c r="F1880" s="8" t="s">
        <v>10</v>
      </c>
      <c r="G1880" s="8">
        <v>77.55</v>
      </c>
      <c r="H1880" s="10">
        <f t="shared" si="58"/>
        <v>1</v>
      </c>
      <c r="I1880" s="10">
        <f>YEAR(Sheet1!$A1880)</f>
        <v>2025</v>
      </c>
      <c r="J1880" s="10">
        <f>DAY(Sheet1!$A1880)</f>
        <v>29</v>
      </c>
      <c r="K1880" s="12" t="s">
        <v>2023</v>
      </c>
      <c r="L1880" s="13" t="str">
        <f t="shared" si="59"/>
        <v>Premium Customer</v>
      </c>
    </row>
    <row r="1881" spans="1:12" ht="15.75" customHeight="1" x14ac:dyDescent="0.3">
      <c r="A1881" s="14">
        <v>45723</v>
      </c>
      <c r="B1881" s="15" t="s">
        <v>556</v>
      </c>
      <c r="C1881" s="15" t="s">
        <v>18</v>
      </c>
      <c r="D1881" s="15" t="s">
        <v>9</v>
      </c>
      <c r="E1881" s="16">
        <v>25.87</v>
      </c>
      <c r="F1881" s="15" t="s">
        <v>10</v>
      </c>
      <c r="G1881" s="15">
        <v>77.61</v>
      </c>
      <c r="H1881" s="17">
        <f t="shared" si="58"/>
        <v>3</v>
      </c>
      <c r="I1881" s="17">
        <f>YEAR(Sheet1!$A1881)</f>
        <v>2025</v>
      </c>
      <c r="J1881" s="17">
        <f>DAY(Sheet1!$A1881)</f>
        <v>7</v>
      </c>
      <c r="K1881" s="18" t="s">
        <v>2023</v>
      </c>
      <c r="L1881" s="19" t="str">
        <f t="shared" si="59"/>
        <v>Premium Customer</v>
      </c>
    </row>
    <row r="1882" spans="1:12" ht="15.75" customHeight="1" x14ac:dyDescent="0.3">
      <c r="A1882" s="7">
        <v>45439</v>
      </c>
      <c r="B1882" s="8" t="s">
        <v>1259</v>
      </c>
      <c r="C1882" s="8" t="s">
        <v>18</v>
      </c>
      <c r="D1882" s="8" t="s">
        <v>14</v>
      </c>
      <c r="E1882" s="9">
        <v>25.93</v>
      </c>
      <c r="F1882" s="8" t="s">
        <v>11</v>
      </c>
      <c r="G1882" s="8">
        <v>77.790000000000006</v>
      </c>
      <c r="H1882" s="10">
        <f t="shared" si="58"/>
        <v>5</v>
      </c>
      <c r="I1882" s="10">
        <f>YEAR(Sheet1!$A1882)</f>
        <v>2024</v>
      </c>
      <c r="J1882" s="10">
        <f>DAY(Sheet1!$A1882)</f>
        <v>27</v>
      </c>
      <c r="K1882" s="12" t="s">
        <v>2023</v>
      </c>
      <c r="L1882" s="13" t="str">
        <f t="shared" si="59"/>
        <v>Premium Customer</v>
      </c>
    </row>
    <row r="1883" spans="1:12" ht="15.75" customHeight="1" x14ac:dyDescent="0.3">
      <c r="A1883" s="14">
        <v>45542</v>
      </c>
      <c r="B1883" s="15" t="s">
        <v>1753</v>
      </c>
      <c r="C1883" s="15" t="s">
        <v>13</v>
      </c>
      <c r="D1883" s="15" t="s">
        <v>14</v>
      </c>
      <c r="E1883" s="16">
        <v>25.94</v>
      </c>
      <c r="F1883" s="15" t="s">
        <v>10</v>
      </c>
      <c r="G1883" s="15">
        <v>77.819999999999993</v>
      </c>
      <c r="H1883" s="17">
        <f t="shared" si="58"/>
        <v>9</v>
      </c>
      <c r="I1883" s="17">
        <f>YEAR(Sheet1!$A1883)</f>
        <v>2024</v>
      </c>
      <c r="J1883" s="17">
        <f>DAY(Sheet1!$A1883)</f>
        <v>7</v>
      </c>
      <c r="K1883" s="18" t="s">
        <v>2022</v>
      </c>
      <c r="L1883" s="19" t="str">
        <f t="shared" si="59"/>
        <v>Premium Customer</v>
      </c>
    </row>
    <row r="1884" spans="1:12" ht="15.75" customHeight="1" x14ac:dyDescent="0.3">
      <c r="A1884" s="7">
        <v>45420</v>
      </c>
      <c r="B1884" s="8" t="s">
        <v>599</v>
      </c>
      <c r="C1884" s="8" t="s">
        <v>8</v>
      </c>
      <c r="D1884" s="8" t="s">
        <v>19</v>
      </c>
      <c r="E1884" s="9">
        <v>26</v>
      </c>
      <c r="F1884" s="8" t="s">
        <v>10</v>
      </c>
      <c r="G1884" s="8">
        <v>78</v>
      </c>
      <c r="H1884" s="10">
        <f t="shared" si="58"/>
        <v>5</v>
      </c>
      <c r="I1884" s="10">
        <f>YEAR(Sheet1!$A1884)</f>
        <v>2024</v>
      </c>
      <c r="J1884" s="10">
        <f>DAY(Sheet1!$A1884)</f>
        <v>8</v>
      </c>
      <c r="K1884" s="12" t="s">
        <v>2023</v>
      </c>
      <c r="L1884" s="13" t="str">
        <f t="shared" si="59"/>
        <v>Premium Customer</v>
      </c>
    </row>
    <row r="1885" spans="1:12" ht="15.75" customHeight="1" x14ac:dyDescent="0.3">
      <c r="A1885" s="14">
        <v>45586</v>
      </c>
      <c r="B1885" s="15" t="s">
        <v>891</v>
      </c>
      <c r="C1885" s="15" t="s">
        <v>18</v>
      </c>
      <c r="D1885" s="15" t="s">
        <v>19</v>
      </c>
      <c r="E1885" s="16">
        <v>26</v>
      </c>
      <c r="F1885" s="15" t="s">
        <v>10</v>
      </c>
      <c r="G1885" s="15">
        <v>78</v>
      </c>
      <c r="H1885" s="17">
        <f t="shared" si="58"/>
        <v>10</v>
      </c>
      <c r="I1885" s="17">
        <f>YEAR(Sheet1!$A1885)</f>
        <v>2024</v>
      </c>
      <c r="J1885" s="17">
        <f>DAY(Sheet1!$A1885)</f>
        <v>21</v>
      </c>
      <c r="K1885" s="18" t="s">
        <v>2023</v>
      </c>
      <c r="L1885" s="19" t="str">
        <f t="shared" si="59"/>
        <v>Premium Customer</v>
      </c>
    </row>
    <row r="1886" spans="1:12" ht="15.75" customHeight="1" x14ac:dyDescent="0.3">
      <c r="A1886" s="7">
        <v>45639</v>
      </c>
      <c r="B1886" s="8" t="s">
        <v>1758</v>
      </c>
      <c r="C1886" s="8" t="s">
        <v>8</v>
      </c>
      <c r="D1886" s="8" t="s">
        <v>19</v>
      </c>
      <c r="E1886" s="9">
        <v>26.01</v>
      </c>
      <c r="F1886" s="8" t="s">
        <v>10</v>
      </c>
      <c r="G1886" s="8">
        <v>78.03</v>
      </c>
      <c r="H1886" s="10">
        <f t="shared" si="58"/>
        <v>12</v>
      </c>
      <c r="I1886" s="10">
        <f>YEAR(Sheet1!$A1886)</f>
        <v>2024</v>
      </c>
      <c r="J1886" s="10">
        <f>DAY(Sheet1!$A1886)</f>
        <v>13</v>
      </c>
      <c r="K1886" s="12" t="s">
        <v>2022</v>
      </c>
      <c r="L1886" s="13" t="str">
        <f t="shared" si="59"/>
        <v>Premium Customer</v>
      </c>
    </row>
    <row r="1887" spans="1:12" ht="15.75" customHeight="1" x14ac:dyDescent="0.3">
      <c r="A1887" s="14">
        <v>45585</v>
      </c>
      <c r="B1887" s="15" t="s">
        <v>1517</v>
      </c>
      <c r="C1887" s="15" t="s">
        <v>13</v>
      </c>
      <c r="D1887" s="15" t="s">
        <v>14</v>
      </c>
      <c r="E1887" s="16">
        <v>26.02</v>
      </c>
      <c r="F1887" s="15" t="s">
        <v>10</v>
      </c>
      <c r="G1887" s="15">
        <v>78.06</v>
      </c>
      <c r="H1887" s="17">
        <f t="shared" si="58"/>
        <v>10</v>
      </c>
      <c r="I1887" s="17">
        <f>YEAR(Sheet1!$A1887)</f>
        <v>2024</v>
      </c>
      <c r="J1887" s="17">
        <f>DAY(Sheet1!$A1887)</f>
        <v>20</v>
      </c>
      <c r="K1887" s="18" t="s">
        <v>2023</v>
      </c>
      <c r="L1887" s="19" t="str">
        <f t="shared" si="59"/>
        <v>Premium Customer</v>
      </c>
    </row>
    <row r="1888" spans="1:12" ht="15.75" customHeight="1" x14ac:dyDescent="0.3">
      <c r="A1888" s="7">
        <v>45713</v>
      </c>
      <c r="B1888" s="8" t="s">
        <v>1808</v>
      </c>
      <c r="C1888" s="8" t="s">
        <v>13</v>
      </c>
      <c r="D1888" s="8" t="s">
        <v>16</v>
      </c>
      <c r="E1888" s="9">
        <v>26.03</v>
      </c>
      <c r="F1888" s="8" t="s">
        <v>11</v>
      </c>
      <c r="G1888" s="8">
        <v>78.09</v>
      </c>
      <c r="H1888" s="10">
        <f t="shared" si="58"/>
        <v>2</v>
      </c>
      <c r="I1888" s="10">
        <f>YEAR(Sheet1!$A1888)</f>
        <v>2025</v>
      </c>
      <c r="J1888" s="10">
        <f>DAY(Sheet1!$A1888)</f>
        <v>25</v>
      </c>
      <c r="K1888" s="12" t="s">
        <v>2023</v>
      </c>
      <c r="L1888" s="13" t="str">
        <f t="shared" si="59"/>
        <v>Premium Customer</v>
      </c>
    </row>
    <row r="1889" spans="1:12" ht="15.75" customHeight="1" x14ac:dyDescent="0.3">
      <c r="A1889" s="14">
        <v>45444</v>
      </c>
      <c r="B1889" s="15" t="s">
        <v>518</v>
      </c>
      <c r="C1889" s="15" t="s">
        <v>8</v>
      </c>
      <c r="D1889" s="15" t="s">
        <v>16</v>
      </c>
      <c r="E1889" s="16">
        <v>26.08</v>
      </c>
      <c r="F1889" s="15" t="s">
        <v>10</v>
      </c>
      <c r="G1889" s="15">
        <v>78.239999999999995</v>
      </c>
      <c r="H1889" s="17">
        <f t="shared" si="58"/>
        <v>6</v>
      </c>
      <c r="I1889" s="17">
        <f>YEAR(Sheet1!$A1889)</f>
        <v>2024</v>
      </c>
      <c r="J1889" s="17">
        <f>DAY(Sheet1!$A1889)</f>
        <v>1</v>
      </c>
      <c r="K1889" s="18" t="s">
        <v>2022</v>
      </c>
      <c r="L1889" s="19" t="str">
        <f t="shared" si="59"/>
        <v>Premium Customer</v>
      </c>
    </row>
    <row r="1890" spans="1:12" ht="15.75" customHeight="1" x14ac:dyDescent="0.3">
      <c r="A1890" s="7">
        <v>45570</v>
      </c>
      <c r="B1890" s="8" t="s">
        <v>123</v>
      </c>
      <c r="C1890" s="8" t="s">
        <v>18</v>
      </c>
      <c r="D1890" s="8" t="s">
        <v>16</v>
      </c>
      <c r="E1890" s="9">
        <v>26.1</v>
      </c>
      <c r="F1890" s="8" t="s">
        <v>10</v>
      </c>
      <c r="G1890" s="8">
        <v>78.3</v>
      </c>
      <c r="H1890" s="10">
        <f t="shared" si="58"/>
        <v>10</v>
      </c>
      <c r="I1890" s="10">
        <f>YEAR(Sheet1!$A1890)</f>
        <v>2024</v>
      </c>
      <c r="J1890" s="10">
        <f>DAY(Sheet1!$A1890)</f>
        <v>5</v>
      </c>
      <c r="K1890" s="12" t="s">
        <v>2022</v>
      </c>
      <c r="L1890" s="13" t="str">
        <f t="shared" si="59"/>
        <v>Premium Customer</v>
      </c>
    </row>
    <row r="1891" spans="1:12" ht="15.75" customHeight="1" x14ac:dyDescent="0.3">
      <c r="A1891" s="14">
        <v>45561</v>
      </c>
      <c r="B1891" s="15" t="s">
        <v>584</v>
      </c>
      <c r="C1891" s="15" t="s">
        <v>24</v>
      </c>
      <c r="D1891" s="15" t="s">
        <v>9</v>
      </c>
      <c r="E1891" s="16">
        <v>26.12</v>
      </c>
      <c r="F1891" s="15" t="s">
        <v>10</v>
      </c>
      <c r="G1891" s="15">
        <v>78.36</v>
      </c>
      <c r="H1891" s="17">
        <f t="shared" si="58"/>
        <v>9</v>
      </c>
      <c r="I1891" s="17">
        <f>YEAR(Sheet1!$A1891)</f>
        <v>2024</v>
      </c>
      <c r="J1891" s="17">
        <f>DAY(Sheet1!$A1891)</f>
        <v>26</v>
      </c>
      <c r="K1891" s="18" t="s">
        <v>2023</v>
      </c>
      <c r="L1891" s="19" t="str">
        <f t="shared" si="59"/>
        <v>Premium Customer</v>
      </c>
    </row>
    <row r="1892" spans="1:12" ht="15.75" customHeight="1" x14ac:dyDescent="0.3">
      <c r="A1892" s="7">
        <v>45634</v>
      </c>
      <c r="B1892" s="8" t="s">
        <v>2001</v>
      </c>
      <c r="C1892" s="8" t="s">
        <v>13</v>
      </c>
      <c r="D1892" s="8" t="s">
        <v>19</v>
      </c>
      <c r="E1892" s="9">
        <v>26.12</v>
      </c>
      <c r="F1892" s="8" t="s">
        <v>11</v>
      </c>
      <c r="G1892" s="8">
        <v>78.36</v>
      </c>
      <c r="H1892" s="10">
        <f t="shared" si="58"/>
        <v>12</v>
      </c>
      <c r="I1892" s="10">
        <f>YEAR(Sheet1!$A1892)</f>
        <v>2024</v>
      </c>
      <c r="J1892" s="10">
        <f>DAY(Sheet1!$A1892)</f>
        <v>8</v>
      </c>
      <c r="K1892" s="12" t="s">
        <v>2023</v>
      </c>
      <c r="L1892" s="13" t="str">
        <f t="shared" si="59"/>
        <v>Premium Customer</v>
      </c>
    </row>
    <row r="1893" spans="1:12" ht="15.75" customHeight="1" x14ac:dyDescent="0.3">
      <c r="A1893" s="14">
        <v>45431</v>
      </c>
      <c r="B1893" s="15" t="s">
        <v>1149</v>
      </c>
      <c r="C1893" s="15" t="s">
        <v>13</v>
      </c>
      <c r="D1893" s="15" t="s">
        <v>19</v>
      </c>
      <c r="E1893" s="16">
        <v>26.23</v>
      </c>
      <c r="F1893" s="15" t="s">
        <v>10</v>
      </c>
      <c r="G1893" s="15">
        <v>78.69</v>
      </c>
      <c r="H1893" s="17">
        <f t="shared" si="58"/>
        <v>5</v>
      </c>
      <c r="I1893" s="17">
        <f>YEAR(Sheet1!$A1893)</f>
        <v>2024</v>
      </c>
      <c r="J1893" s="17">
        <f>DAY(Sheet1!$A1893)</f>
        <v>19</v>
      </c>
      <c r="K1893" s="18" t="s">
        <v>2022</v>
      </c>
      <c r="L1893" s="19" t="str">
        <f t="shared" si="59"/>
        <v>Premium Customer</v>
      </c>
    </row>
    <row r="1894" spans="1:12" ht="15.75" customHeight="1" x14ac:dyDescent="0.3">
      <c r="A1894" s="7">
        <v>45442</v>
      </c>
      <c r="B1894" s="8" t="s">
        <v>360</v>
      </c>
      <c r="C1894" s="8" t="s">
        <v>8</v>
      </c>
      <c r="D1894" s="8" t="s">
        <v>9</v>
      </c>
      <c r="E1894" s="9">
        <v>26.25</v>
      </c>
      <c r="F1894" s="8" t="s">
        <v>10</v>
      </c>
      <c r="G1894" s="8">
        <v>78.75</v>
      </c>
      <c r="H1894" s="10">
        <f t="shared" si="58"/>
        <v>5</v>
      </c>
      <c r="I1894" s="10">
        <f>YEAR(Sheet1!$A1894)</f>
        <v>2024</v>
      </c>
      <c r="J1894" s="10">
        <f>DAY(Sheet1!$A1894)</f>
        <v>30</v>
      </c>
      <c r="K1894" s="12" t="s">
        <v>2023</v>
      </c>
      <c r="L1894" s="13" t="str">
        <f t="shared" si="59"/>
        <v>Premium Customer</v>
      </c>
    </row>
    <row r="1895" spans="1:12" ht="15.75" customHeight="1" x14ac:dyDescent="0.3">
      <c r="A1895" s="14">
        <v>45526</v>
      </c>
      <c r="B1895" s="15" t="s">
        <v>1150</v>
      </c>
      <c r="C1895" s="15" t="s">
        <v>8</v>
      </c>
      <c r="D1895" s="15" t="s">
        <v>14</v>
      </c>
      <c r="E1895" s="16">
        <v>26.34</v>
      </c>
      <c r="F1895" s="15" t="s">
        <v>10</v>
      </c>
      <c r="G1895" s="15">
        <v>79.02</v>
      </c>
      <c r="H1895" s="17">
        <f t="shared" si="58"/>
        <v>8</v>
      </c>
      <c r="I1895" s="17">
        <f>YEAR(Sheet1!$A1895)</f>
        <v>2024</v>
      </c>
      <c r="J1895" s="17">
        <f>DAY(Sheet1!$A1895)</f>
        <v>22</v>
      </c>
      <c r="K1895" s="18" t="s">
        <v>2023</v>
      </c>
      <c r="L1895" s="19" t="str">
        <f t="shared" si="59"/>
        <v>Premium Customer</v>
      </c>
    </row>
    <row r="1896" spans="1:12" ht="15.75" customHeight="1" x14ac:dyDescent="0.3">
      <c r="A1896" s="7">
        <v>45555</v>
      </c>
      <c r="B1896" s="8" t="s">
        <v>1492</v>
      </c>
      <c r="C1896" s="8" t="s">
        <v>8</v>
      </c>
      <c r="D1896" s="8" t="s">
        <v>14</v>
      </c>
      <c r="E1896" s="9">
        <v>26.36</v>
      </c>
      <c r="F1896" s="8" t="s">
        <v>11</v>
      </c>
      <c r="G1896" s="8">
        <v>79.08</v>
      </c>
      <c r="H1896" s="10">
        <f t="shared" si="58"/>
        <v>9</v>
      </c>
      <c r="I1896" s="10">
        <f>YEAR(Sheet1!$A1896)</f>
        <v>2024</v>
      </c>
      <c r="J1896" s="10">
        <f>DAY(Sheet1!$A1896)</f>
        <v>20</v>
      </c>
      <c r="K1896" s="12" t="s">
        <v>2023</v>
      </c>
      <c r="L1896" s="13" t="str">
        <f t="shared" si="59"/>
        <v>Premium Customer</v>
      </c>
    </row>
    <row r="1897" spans="1:12" ht="15.75" customHeight="1" x14ac:dyDescent="0.3">
      <c r="A1897" s="14">
        <v>45586</v>
      </c>
      <c r="B1897" s="15" t="s">
        <v>877</v>
      </c>
      <c r="C1897" s="15" t="s">
        <v>18</v>
      </c>
      <c r="D1897" s="15" t="s">
        <v>19</v>
      </c>
      <c r="E1897" s="16">
        <v>26.38</v>
      </c>
      <c r="F1897" s="15" t="s">
        <v>10</v>
      </c>
      <c r="G1897" s="15">
        <v>79.14</v>
      </c>
      <c r="H1897" s="17">
        <f t="shared" si="58"/>
        <v>10</v>
      </c>
      <c r="I1897" s="17">
        <f>YEAR(Sheet1!$A1897)</f>
        <v>2024</v>
      </c>
      <c r="J1897" s="17">
        <f>DAY(Sheet1!$A1897)</f>
        <v>21</v>
      </c>
      <c r="K1897" s="18" t="s">
        <v>2022</v>
      </c>
      <c r="L1897" s="19" t="str">
        <f t="shared" si="59"/>
        <v>Premium Customer</v>
      </c>
    </row>
    <row r="1898" spans="1:12" ht="15.75" customHeight="1" x14ac:dyDescent="0.3">
      <c r="A1898" s="7">
        <v>45542</v>
      </c>
      <c r="B1898" s="8" t="s">
        <v>1143</v>
      </c>
      <c r="C1898" s="8" t="s">
        <v>13</v>
      </c>
      <c r="D1898" s="8" t="s">
        <v>16</v>
      </c>
      <c r="E1898" s="9">
        <v>26.39</v>
      </c>
      <c r="F1898" s="8" t="s">
        <v>10</v>
      </c>
      <c r="G1898" s="8">
        <v>79.17</v>
      </c>
      <c r="H1898" s="10">
        <f t="shared" si="58"/>
        <v>9</v>
      </c>
      <c r="I1898" s="10">
        <f>YEAR(Sheet1!$A1898)</f>
        <v>2024</v>
      </c>
      <c r="J1898" s="10">
        <f>DAY(Sheet1!$A1898)</f>
        <v>7</v>
      </c>
      <c r="K1898" s="12" t="s">
        <v>2023</v>
      </c>
      <c r="L1898" s="13" t="str">
        <f t="shared" si="59"/>
        <v>Premium Customer</v>
      </c>
    </row>
    <row r="1899" spans="1:12" ht="15.75" customHeight="1" x14ac:dyDescent="0.3">
      <c r="A1899" s="14">
        <v>45740</v>
      </c>
      <c r="B1899" s="15" t="s">
        <v>1863</v>
      </c>
      <c r="C1899" s="15" t="s">
        <v>8</v>
      </c>
      <c r="D1899" s="15" t="s">
        <v>14</v>
      </c>
      <c r="E1899" s="16">
        <v>26.42</v>
      </c>
      <c r="F1899" s="15" t="s">
        <v>11</v>
      </c>
      <c r="G1899" s="15">
        <v>79.260000000000005</v>
      </c>
      <c r="H1899" s="17">
        <f t="shared" si="58"/>
        <v>3</v>
      </c>
      <c r="I1899" s="17">
        <f>YEAR(Sheet1!$A1899)</f>
        <v>2025</v>
      </c>
      <c r="J1899" s="17">
        <f>DAY(Sheet1!$A1899)</f>
        <v>24</v>
      </c>
      <c r="K1899" s="18" t="s">
        <v>2023</v>
      </c>
      <c r="L1899" s="19" t="str">
        <f t="shared" si="59"/>
        <v>Premium Customer</v>
      </c>
    </row>
    <row r="1900" spans="1:12" ht="15.75" customHeight="1" x14ac:dyDescent="0.3">
      <c r="A1900" s="7">
        <v>45442</v>
      </c>
      <c r="B1900" s="8" t="s">
        <v>1821</v>
      </c>
      <c r="C1900" s="8" t="s">
        <v>8</v>
      </c>
      <c r="D1900" s="8" t="s">
        <v>9</v>
      </c>
      <c r="E1900" s="9">
        <v>26.49</v>
      </c>
      <c r="F1900" s="8" t="s">
        <v>10</v>
      </c>
      <c r="G1900" s="8">
        <v>79.47</v>
      </c>
      <c r="H1900" s="10">
        <f t="shared" si="58"/>
        <v>5</v>
      </c>
      <c r="I1900" s="10">
        <f>YEAR(Sheet1!$A1900)</f>
        <v>2024</v>
      </c>
      <c r="J1900" s="10">
        <f>DAY(Sheet1!$A1900)</f>
        <v>30</v>
      </c>
      <c r="K1900" s="12" t="s">
        <v>2023</v>
      </c>
      <c r="L1900" s="13" t="str">
        <f t="shared" si="59"/>
        <v>Premium Customer</v>
      </c>
    </row>
    <row r="1901" spans="1:12" ht="15.75" customHeight="1" x14ac:dyDescent="0.3">
      <c r="A1901" s="14">
        <v>45490</v>
      </c>
      <c r="B1901" s="15" t="s">
        <v>1162</v>
      </c>
      <c r="C1901" s="15" t="s">
        <v>13</v>
      </c>
      <c r="D1901" s="15" t="s">
        <v>16</v>
      </c>
      <c r="E1901" s="16">
        <v>26.59</v>
      </c>
      <c r="F1901" s="15" t="s">
        <v>10</v>
      </c>
      <c r="G1901" s="15">
        <v>79.77</v>
      </c>
      <c r="H1901" s="17">
        <f t="shared" si="58"/>
        <v>7</v>
      </c>
      <c r="I1901" s="17">
        <f>YEAR(Sheet1!$A1901)</f>
        <v>2024</v>
      </c>
      <c r="J1901" s="17">
        <f>DAY(Sheet1!$A1901)</f>
        <v>17</v>
      </c>
      <c r="K1901" s="18" t="s">
        <v>2022</v>
      </c>
      <c r="L1901" s="19" t="str">
        <f t="shared" si="59"/>
        <v>Premium Customer</v>
      </c>
    </row>
    <row r="1902" spans="1:12" ht="15.75" customHeight="1" x14ac:dyDescent="0.3">
      <c r="A1902" s="7">
        <v>45505</v>
      </c>
      <c r="B1902" s="8" t="s">
        <v>109</v>
      </c>
      <c r="C1902" s="8" t="s">
        <v>24</v>
      </c>
      <c r="D1902" s="8" t="s">
        <v>16</v>
      </c>
      <c r="E1902" s="9">
        <v>26.59</v>
      </c>
      <c r="F1902" s="8" t="s">
        <v>10</v>
      </c>
      <c r="G1902" s="8">
        <v>79.77</v>
      </c>
      <c r="H1902" s="10">
        <f t="shared" si="58"/>
        <v>8</v>
      </c>
      <c r="I1902" s="10">
        <f>YEAR(Sheet1!$A1902)</f>
        <v>2024</v>
      </c>
      <c r="J1902" s="10">
        <f>DAY(Sheet1!$A1902)</f>
        <v>1</v>
      </c>
      <c r="K1902" s="12" t="s">
        <v>2022</v>
      </c>
      <c r="L1902" s="13" t="str">
        <f t="shared" si="59"/>
        <v>Premium Customer</v>
      </c>
    </row>
    <row r="1903" spans="1:12" ht="15.75" customHeight="1" x14ac:dyDescent="0.3">
      <c r="A1903" s="14">
        <v>45679</v>
      </c>
      <c r="B1903" s="15" t="s">
        <v>1263</v>
      </c>
      <c r="C1903" s="15" t="s">
        <v>8</v>
      </c>
      <c r="D1903" s="15" t="s">
        <v>14</v>
      </c>
      <c r="E1903" s="16">
        <v>26.63</v>
      </c>
      <c r="F1903" s="15" t="s">
        <v>10</v>
      </c>
      <c r="G1903" s="15">
        <v>79.89</v>
      </c>
      <c r="H1903" s="17">
        <f t="shared" si="58"/>
        <v>1</v>
      </c>
      <c r="I1903" s="17">
        <f>YEAR(Sheet1!$A1903)</f>
        <v>2025</v>
      </c>
      <c r="J1903" s="17">
        <f>DAY(Sheet1!$A1903)</f>
        <v>22</v>
      </c>
      <c r="K1903" s="18" t="s">
        <v>2023</v>
      </c>
      <c r="L1903" s="19" t="str">
        <f t="shared" si="59"/>
        <v>Premium Customer</v>
      </c>
    </row>
    <row r="1904" spans="1:12" ht="15.75" customHeight="1" x14ac:dyDescent="0.3">
      <c r="A1904" s="7">
        <v>45613</v>
      </c>
      <c r="B1904" s="8" t="s">
        <v>211</v>
      </c>
      <c r="C1904" s="8" t="s">
        <v>24</v>
      </c>
      <c r="D1904" s="8" t="s">
        <v>19</v>
      </c>
      <c r="E1904" s="9">
        <v>26.71</v>
      </c>
      <c r="F1904" s="8" t="s">
        <v>10</v>
      </c>
      <c r="G1904" s="8">
        <v>80.13</v>
      </c>
      <c r="H1904" s="10">
        <f t="shared" si="58"/>
        <v>11</v>
      </c>
      <c r="I1904" s="10">
        <f>YEAR(Sheet1!$A1904)</f>
        <v>2024</v>
      </c>
      <c r="J1904" s="10">
        <f>DAY(Sheet1!$A1904)</f>
        <v>17</v>
      </c>
      <c r="K1904" s="12" t="s">
        <v>2023</v>
      </c>
      <c r="L1904" s="13" t="str">
        <f t="shared" si="59"/>
        <v>Premium Customer</v>
      </c>
    </row>
    <row r="1905" spans="1:12" ht="15.75" customHeight="1" x14ac:dyDescent="0.3">
      <c r="A1905" s="14">
        <v>45481</v>
      </c>
      <c r="B1905" s="15" t="s">
        <v>1496</v>
      </c>
      <c r="C1905" s="15" t="s">
        <v>8</v>
      </c>
      <c r="D1905" s="15" t="s">
        <v>14</v>
      </c>
      <c r="E1905" s="16">
        <v>26.74</v>
      </c>
      <c r="F1905" s="15" t="s">
        <v>10</v>
      </c>
      <c r="G1905" s="15">
        <v>80.22</v>
      </c>
      <c r="H1905" s="17">
        <f t="shared" si="58"/>
        <v>7</v>
      </c>
      <c r="I1905" s="17">
        <f>YEAR(Sheet1!$A1905)</f>
        <v>2024</v>
      </c>
      <c r="J1905" s="17">
        <f>DAY(Sheet1!$A1905)</f>
        <v>8</v>
      </c>
      <c r="K1905" s="18" t="s">
        <v>2022</v>
      </c>
      <c r="L1905" s="19" t="str">
        <f t="shared" si="59"/>
        <v>Premium Customer</v>
      </c>
    </row>
    <row r="1906" spans="1:12" ht="15.75" customHeight="1" x14ac:dyDescent="0.3">
      <c r="A1906" s="7">
        <v>45713</v>
      </c>
      <c r="B1906" s="8" t="s">
        <v>1011</v>
      </c>
      <c r="C1906" s="8" t="s">
        <v>18</v>
      </c>
      <c r="D1906" s="8" t="s">
        <v>14</v>
      </c>
      <c r="E1906" s="9">
        <v>26.84</v>
      </c>
      <c r="F1906" s="8" t="s">
        <v>11</v>
      </c>
      <c r="G1906" s="8">
        <v>80.52</v>
      </c>
      <c r="H1906" s="10">
        <f t="shared" si="58"/>
        <v>2</v>
      </c>
      <c r="I1906" s="10">
        <f>YEAR(Sheet1!$A1906)</f>
        <v>2025</v>
      </c>
      <c r="J1906" s="10">
        <f>DAY(Sheet1!$A1906)</f>
        <v>25</v>
      </c>
      <c r="K1906" s="12" t="s">
        <v>2023</v>
      </c>
      <c r="L1906" s="13" t="str">
        <f t="shared" si="59"/>
        <v>Premium Customer</v>
      </c>
    </row>
    <row r="1907" spans="1:12" ht="15.75" customHeight="1" x14ac:dyDescent="0.3">
      <c r="A1907" s="14">
        <v>45702</v>
      </c>
      <c r="B1907" s="15" t="s">
        <v>220</v>
      </c>
      <c r="C1907" s="15" t="s">
        <v>8</v>
      </c>
      <c r="D1907" s="15" t="s">
        <v>14</v>
      </c>
      <c r="E1907" s="16">
        <v>26.89</v>
      </c>
      <c r="F1907" s="15" t="s">
        <v>11</v>
      </c>
      <c r="G1907" s="15">
        <v>80.67</v>
      </c>
      <c r="H1907" s="17">
        <f t="shared" si="58"/>
        <v>2</v>
      </c>
      <c r="I1907" s="17">
        <f>YEAR(Sheet1!$A1907)</f>
        <v>2025</v>
      </c>
      <c r="J1907" s="17">
        <f>DAY(Sheet1!$A1907)</f>
        <v>14</v>
      </c>
      <c r="K1907" s="18" t="s">
        <v>2023</v>
      </c>
      <c r="L1907" s="19" t="str">
        <f t="shared" si="59"/>
        <v>Premium Customer</v>
      </c>
    </row>
    <row r="1908" spans="1:12" ht="15.75" customHeight="1" x14ac:dyDescent="0.3">
      <c r="A1908" s="7">
        <v>45773</v>
      </c>
      <c r="B1908" s="8" t="s">
        <v>638</v>
      </c>
      <c r="C1908" s="8" t="s">
        <v>24</v>
      </c>
      <c r="D1908" s="8" t="s">
        <v>19</v>
      </c>
      <c r="E1908" s="9">
        <v>26.9</v>
      </c>
      <c r="F1908" s="8" t="s">
        <v>10</v>
      </c>
      <c r="G1908" s="8">
        <v>80.7</v>
      </c>
      <c r="H1908" s="10">
        <f t="shared" si="58"/>
        <v>4</v>
      </c>
      <c r="I1908" s="10">
        <f>YEAR(Sheet1!$A1908)</f>
        <v>2025</v>
      </c>
      <c r="J1908" s="10">
        <f>DAY(Sheet1!$A1908)</f>
        <v>26</v>
      </c>
      <c r="K1908" s="12" t="s">
        <v>2022</v>
      </c>
      <c r="L1908" s="13" t="str">
        <f t="shared" si="59"/>
        <v>Premium Customer</v>
      </c>
    </row>
    <row r="1909" spans="1:12" ht="15.75" customHeight="1" x14ac:dyDescent="0.3">
      <c r="A1909" s="14">
        <v>45612</v>
      </c>
      <c r="B1909" s="15" t="s">
        <v>866</v>
      </c>
      <c r="C1909" s="15" t="s">
        <v>13</v>
      </c>
      <c r="D1909" s="15" t="s">
        <v>16</v>
      </c>
      <c r="E1909" s="16">
        <v>26.92</v>
      </c>
      <c r="F1909" s="15" t="s">
        <v>10</v>
      </c>
      <c r="G1909" s="15">
        <v>80.760000000000005</v>
      </c>
      <c r="H1909" s="17">
        <f t="shared" si="58"/>
        <v>11</v>
      </c>
      <c r="I1909" s="17">
        <f>YEAR(Sheet1!$A1909)</f>
        <v>2024</v>
      </c>
      <c r="J1909" s="17">
        <f>DAY(Sheet1!$A1909)</f>
        <v>16</v>
      </c>
      <c r="K1909" s="18" t="s">
        <v>2023</v>
      </c>
      <c r="L1909" s="19" t="str">
        <f t="shared" si="59"/>
        <v>Premium Customer</v>
      </c>
    </row>
    <row r="1910" spans="1:12" ht="15.75" customHeight="1" x14ac:dyDescent="0.3">
      <c r="A1910" s="7">
        <v>45416</v>
      </c>
      <c r="B1910" s="8" t="s">
        <v>1241</v>
      </c>
      <c r="C1910" s="8" t="s">
        <v>8</v>
      </c>
      <c r="D1910" s="8" t="s">
        <v>16</v>
      </c>
      <c r="E1910" s="9">
        <v>27.03</v>
      </c>
      <c r="F1910" s="8" t="s">
        <v>10</v>
      </c>
      <c r="G1910" s="8">
        <v>81.09</v>
      </c>
      <c r="H1910" s="10">
        <f t="shared" si="58"/>
        <v>5</v>
      </c>
      <c r="I1910" s="10">
        <f>YEAR(Sheet1!$A1910)</f>
        <v>2024</v>
      </c>
      <c r="J1910" s="10">
        <f>DAY(Sheet1!$A1910)</f>
        <v>4</v>
      </c>
      <c r="K1910" s="12" t="s">
        <v>2022</v>
      </c>
      <c r="L1910" s="13" t="str">
        <f t="shared" si="59"/>
        <v>Premium Customer</v>
      </c>
    </row>
    <row r="1911" spans="1:12" ht="15.75" customHeight="1" x14ac:dyDescent="0.3">
      <c r="A1911" s="14">
        <v>45544</v>
      </c>
      <c r="B1911" s="15" t="s">
        <v>1490</v>
      </c>
      <c r="C1911" s="15" t="s">
        <v>8</v>
      </c>
      <c r="D1911" s="15" t="s">
        <v>16</v>
      </c>
      <c r="E1911" s="16">
        <v>27.05</v>
      </c>
      <c r="F1911" s="15" t="s">
        <v>11</v>
      </c>
      <c r="G1911" s="15">
        <v>81.150000000000006</v>
      </c>
      <c r="H1911" s="17">
        <f t="shared" si="58"/>
        <v>9</v>
      </c>
      <c r="I1911" s="17">
        <f>YEAR(Sheet1!$A1911)</f>
        <v>2024</v>
      </c>
      <c r="J1911" s="17">
        <f>DAY(Sheet1!$A1911)</f>
        <v>9</v>
      </c>
      <c r="K1911" s="18" t="s">
        <v>2022</v>
      </c>
      <c r="L1911" s="19" t="str">
        <f t="shared" si="59"/>
        <v>Premium Customer</v>
      </c>
    </row>
    <row r="1912" spans="1:12" ht="15.75" customHeight="1" x14ac:dyDescent="0.3">
      <c r="A1912" s="7">
        <v>45668</v>
      </c>
      <c r="B1912" s="8" t="s">
        <v>1829</v>
      </c>
      <c r="C1912" s="8" t="s">
        <v>8</v>
      </c>
      <c r="D1912" s="8" t="s">
        <v>19</v>
      </c>
      <c r="E1912" s="9">
        <v>27.1</v>
      </c>
      <c r="F1912" s="8" t="s">
        <v>10</v>
      </c>
      <c r="G1912" s="8">
        <v>81.3</v>
      </c>
      <c r="H1912" s="10">
        <f t="shared" si="58"/>
        <v>1</v>
      </c>
      <c r="I1912" s="10">
        <f>YEAR(Sheet1!$A1912)</f>
        <v>2025</v>
      </c>
      <c r="J1912" s="10">
        <f>DAY(Sheet1!$A1912)</f>
        <v>11</v>
      </c>
      <c r="K1912" s="12" t="s">
        <v>2022</v>
      </c>
      <c r="L1912" s="13" t="str">
        <f t="shared" si="59"/>
        <v>Premium Customer</v>
      </c>
    </row>
    <row r="1913" spans="1:12" ht="15.75" customHeight="1" x14ac:dyDescent="0.3">
      <c r="A1913" s="14">
        <v>45709</v>
      </c>
      <c r="B1913" s="15" t="s">
        <v>1345</v>
      </c>
      <c r="C1913" s="15" t="s">
        <v>18</v>
      </c>
      <c r="D1913" s="15" t="s">
        <v>19</v>
      </c>
      <c r="E1913" s="16">
        <v>27.15</v>
      </c>
      <c r="F1913" s="15" t="s">
        <v>10</v>
      </c>
      <c r="G1913" s="15">
        <v>81.45</v>
      </c>
      <c r="H1913" s="17">
        <f t="shared" si="58"/>
        <v>2</v>
      </c>
      <c r="I1913" s="17">
        <f>YEAR(Sheet1!$A1913)</f>
        <v>2025</v>
      </c>
      <c r="J1913" s="17">
        <f>DAY(Sheet1!$A1913)</f>
        <v>21</v>
      </c>
      <c r="K1913" s="18" t="s">
        <v>2022</v>
      </c>
      <c r="L1913" s="19" t="str">
        <f t="shared" si="59"/>
        <v>Premium Customer</v>
      </c>
    </row>
    <row r="1914" spans="1:12" ht="15.75" customHeight="1" x14ac:dyDescent="0.3">
      <c r="A1914" s="7">
        <v>45709</v>
      </c>
      <c r="B1914" s="8" t="s">
        <v>1337</v>
      </c>
      <c r="C1914" s="8" t="s">
        <v>13</v>
      </c>
      <c r="D1914" s="8" t="s">
        <v>9</v>
      </c>
      <c r="E1914" s="9">
        <v>27.16</v>
      </c>
      <c r="F1914" s="8" t="s">
        <v>10</v>
      </c>
      <c r="G1914" s="8">
        <v>81.48</v>
      </c>
      <c r="H1914" s="10">
        <f t="shared" si="58"/>
        <v>2</v>
      </c>
      <c r="I1914" s="10">
        <f>YEAR(Sheet1!$A1914)</f>
        <v>2025</v>
      </c>
      <c r="J1914" s="10">
        <f>DAY(Sheet1!$A1914)</f>
        <v>21</v>
      </c>
      <c r="K1914" s="12" t="s">
        <v>2022</v>
      </c>
      <c r="L1914" s="13" t="str">
        <f t="shared" si="59"/>
        <v>Premium Customer</v>
      </c>
    </row>
    <row r="1915" spans="1:12" ht="15.75" customHeight="1" x14ac:dyDescent="0.3">
      <c r="A1915" s="14">
        <v>45732</v>
      </c>
      <c r="B1915" s="15" t="s">
        <v>1618</v>
      </c>
      <c r="C1915" s="15" t="s">
        <v>24</v>
      </c>
      <c r="D1915" s="15" t="s">
        <v>16</v>
      </c>
      <c r="E1915" s="16">
        <v>27.18</v>
      </c>
      <c r="F1915" s="15" t="s">
        <v>11</v>
      </c>
      <c r="G1915" s="15">
        <v>81.540000000000006</v>
      </c>
      <c r="H1915" s="17">
        <f t="shared" si="58"/>
        <v>3</v>
      </c>
      <c r="I1915" s="17">
        <f>YEAR(Sheet1!$A1915)</f>
        <v>2025</v>
      </c>
      <c r="J1915" s="17">
        <f>DAY(Sheet1!$A1915)</f>
        <v>16</v>
      </c>
      <c r="K1915" s="18" t="s">
        <v>2022</v>
      </c>
      <c r="L1915" s="19" t="str">
        <f t="shared" si="59"/>
        <v>Premium Customer</v>
      </c>
    </row>
    <row r="1916" spans="1:12" ht="15.75" customHeight="1" x14ac:dyDescent="0.3">
      <c r="A1916" s="7">
        <v>45700</v>
      </c>
      <c r="B1916" s="8" t="s">
        <v>1444</v>
      </c>
      <c r="C1916" s="8" t="s">
        <v>13</v>
      </c>
      <c r="D1916" s="8" t="s">
        <v>16</v>
      </c>
      <c r="E1916" s="9">
        <v>27.27</v>
      </c>
      <c r="F1916" s="8" t="s">
        <v>11</v>
      </c>
      <c r="G1916" s="8">
        <v>81.81</v>
      </c>
      <c r="H1916" s="10">
        <f t="shared" si="58"/>
        <v>2</v>
      </c>
      <c r="I1916" s="10">
        <f>YEAR(Sheet1!$A1916)</f>
        <v>2025</v>
      </c>
      <c r="J1916" s="10">
        <f>DAY(Sheet1!$A1916)</f>
        <v>12</v>
      </c>
      <c r="K1916" s="12" t="s">
        <v>2023</v>
      </c>
      <c r="L1916" s="13" t="str">
        <f t="shared" si="59"/>
        <v>Premium Customer</v>
      </c>
    </row>
    <row r="1917" spans="1:12" ht="15.75" customHeight="1" x14ac:dyDescent="0.3">
      <c r="A1917" s="14">
        <v>45695</v>
      </c>
      <c r="B1917" s="15" t="s">
        <v>399</v>
      </c>
      <c r="C1917" s="15" t="s">
        <v>8</v>
      </c>
      <c r="D1917" s="15" t="s">
        <v>16</v>
      </c>
      <c r="E1917" s="16">
        <v>27.28</v>
      </c>
      <c r="F1917" s="15" t="s">
        <v>11</v>
      </c>
      <c r="G1917" s="15">
        <v>81.84</v>
      </c>
      <c r="H1917" s="17">
        <f t="shared" si="58"/>
        <v>2</v>
      </c>
      <c r="I1917" s="17">
        <f>YEAR(Sheet1!$A1917)</f>
        <v>2025</v>
      </c>
      <c r="J1917" s="17">
        <f>DAY(Sheet1!$A1917)</f>
        <v>7</v>
      </c>
      <c r="K1917" s="18" t="s">
        <v>2022</v>
      </c>
      <c r="L1917" s="19" t="str">
        <f t="shared" si="59"/>
        <v>Premium Customer</v>
      </c>
    </row>
    <row r="1918" spans="1:12" ht="15.75" customHeight="1" x14ac:dyDescent="0.3">
      <c r="A1918" s="7">
        <v>45546</v>
      </c>
      <c r="B1918" s="8" t="s">
        <v>898</v>
      </c>
      <c r="C1918" s="8" t="s">
        <v>18</v>
      </c>
      <c r="D1918" s="8" t="s">
        <v>16</v>
      </c>
      <c r="E1918" s="9">
        <v>27.29</v>
      </c>
      <c r="F1918" s="8" t="s">
        <v>10</v>
      </c>
      <c r="G1918" s="8">
        <v>81.87</v>
      </c>
      <c r="H1918" s="10">
        <f t="shared" si="58"/>
        <v>9</v>
      </c>
      <c r="I1918" s="10">
        <f>YEAR(Sheet1!$A1918)</f>
        <v>2024</v>
      </c>
      <c r="J1918" s="10">
        <f>DAY(Sheet1!$A1918)</f>
        <v>11</v>
      </c>
      <c r="K1918" s="12" t="s">
        <v>2023</v>
      </c>
      <c r="L1918" s="13" t="str">
        <f t="shared" si="59"/>
        <v>Premium Customer</v>
      </c>
    </row>
    <row r="1919" spans="1:12" ht="15.75" customHeight="1" x14ac:dyDescent="0.3">
      <c r="A1919" s="14">
        <v>45419</v>
      </c>
      <c r="B1919" s="15" t="s">
        <v>488</v>
      </c>
      <c r="C1919" s="15" t="s">
        <v>24</v>
      </c>
      <c r="D1919" s="15" t="s">
        <v>14</v>
      </c>
      <c r="E1919" s="16">
        <v>27.31</v>
      </c>
      <c r="F1919" s="15" t="s">
        <v>10</v>
      </c>
      <c r="G1919" s="15">
        <v>81.93</v>
      </c>
      <c r="H1919" s="17">
        <f t="shared" si="58"/>
        <v>5</v>
      </c>
      <c r="I1919" s="17">
        <f>YEAR(Sheet1!$A1919)</f>
        <v>2024</v>
      </c>
      <c r="J1919" s="17">
        <f>DAY(Sheet1!$A1919)</f>
        <v>7</v>
      </c>
      <c r="K1919" s="18" t="s">
        <v>2022</v>
      </c>
      <c r="L1919" s="19" t="str">
        <f t="shared" si="59"/>
        <v>Premium Customer</v>
      </c>
    </row>
    <row r="1920" spans="1:12" ht="15.75" customHeight="1" x14ac:dyDescent="0.3">
      <c r="A1920" s="7">
        <v>45659</v>
      </c>
      <c r="B1920" s="8" t="s">
        <v>1201</v>
      </c>
      <c r="C1920" s="8" t="s">
        <v>18</v>
      </c>
      <c r="D1920" s="8" t="s">
        <v>16</v>
      </c>
      <c r="E1920" s="9">
        <v>27.34</v>
      </c>
      <c r="F1920" s="8" t="s">
        <v>11</v>
      </c>
      <c r="G1920" s="8">
        <v>82.02</v>
      </c>
      <c r="H1920" s="10">
        <f t="shared" si="58"/>
        <v>1</v>
      </c>
      <c r="I1920" s="10">
        <f>YEAR(Sheet1!$A1920)</f>
        <v>2025</v>
      </c>
      <c r="J1920" s="10">
        <f>DAY(Sheet1!$A1920)</f>
        <v>2</v>
      </c>
      <c r="K1920" s="12" t="s">
        <v>2022</v>
      </c>
      <c r="L1920" s="13" t="str">
        <f t="shared" si="59"/>
        <v>Premium Customer</v>
      </c>
    </row>
    <row r="1921" spans="1:12" ht="15.75" customHeight="1" x14ac:dyDescent="0.3">
      <c r="A1921" s="14">
        <v>45661</v>
      </c>
      <c r="B1921" s="15" t="s">
        <v>893</v>
      </c>
      <c r="C1921" s="15" t="s">
        <v>18</v>
      </c>
      <c r="D1921" s="15" t="s">
        <v>19</v>
      </c>
      <c r="E1921" s="16">
        <v>27.36</v>
      </c>
      <c r="F1921" s="15" t="s">
        <v>10</v>
      </c>
      <c r="G1921" s="15">
        <v>82.08</v>
      </c>
      <c r="H1921" s="17">
        <f t="shared" si="58"/>
        <v>1</v>
      </c>
      <c r="I1921" s="17">
        <f>YEAR(Sheet1!$A1921)</f>
        <v>2025</v>
      </c>
      <c r="J1921" s="17">
        <f>DAY(Sheet1!$A1921)</f>
        <v>4</v>
      </c>
      <c r="K1921" s="18" t="s">
        <v>2022</v>
      </c>
      <c r="L1921" s="19" t="str">
        <f t="shared" si="59"/>
        <v>Premium Customer</v>
      </c>
    </row>
    <row r="1922" spans="1:12" ht="15.75" customHeight="1" x14ac:dyDescent="0.3">
      <c r="A1922" s="7">
        <v>45440</v>
      </c>
      <c r="B1922" s="8" t="s">
        <v>572</v>
      </c>
      <c r="C1922" s="8" t="s">
        <v>13</v>
      </c>
      <c r="D1922" s="8" t="s">
        <v>19</v>
      </c>
      <c r="E1922" s="9">
        <v>27.37</v>
      </c>
      <c r="F1922" s="8" t="s">
        <v>11</v>
      </c>
      <c r="G1922" s="8">
        <v>82.11</v>
      </c>
      <c r="H1922" s="10">
        <f t="shared" ref="H1922:H1985" si="60">MONTH(A1922)</f>
        <v>5</v>
      </c>
      <c r="I1922" s="10">
        <f>YEAR(Sheet1!$A1922)</f>
        <v>2024</v>
      </c>
      <c r="J1922" s="10">
        <f>DAY(Sheet1!$A1922)</f>
        <v>28</v>
      </c>
      <c r="K1922" s="12" t="s">
        <v>2023</v>
      </c>
      <c r="L1922" s="13" t="str">
        <f t="shared" ref="L1922:L1985" si="61">IF(G1922&gt;50,"Premium Customer","Regular Customer")</f>
        <v>Premium Customer</v>
      </c>
    </row>
    <row r="1923" spans="1:12" ht="15.75" customHeight="1" x14ac:dyDescent="0.3">
      <c r="A1923" s="14">
        <v>45609</v>
      </c>
      <c r="B1923" s="15" t="s">
        <v>929</v>
      </c>
      <c r="C1923" s="15" t="s">
        <v>8</v>
      </c>
      <c r="D1923" s="15" t="s">
        <v>16</v>
      </c>
      <c r="E1923" s="16">
        <v>27.37</v>
      </c>
      <c r="F1923" s="15" t="s">
        <v>11</v>
      </c>
      <c r="G1923" s="15">
        <v>82.11</v>
      </c>
      <c r="H1923" s="17">
        <f t="shared" si="60"/>
        <v>11</v>
      </c>
      <c r="I1923" s="17">
        <f>YEAR(Sheet1!$A1923)</f>
        <v>2024</v>
      </c>
      <c r="J1923" s="17">
        <f>DAY(Sheet1!$A1923)</f>
        <v>13</v>
      </c>
      <c r="K1923" s="18" t="s">
        <v>2022</v>
      </c>
      <c r="L1923" s="19" t="str">
        <f t="shared" si="61"/>
        <v>Premium Customer</v>
      </c>
    </row>
    <row r="1924" spans="1:12" ht="15.75" customHeight="1" x14ac:dyDescent="0.3">
      <c r="A1924" s="7">
        <v>45702</v>
      </c>
      <c r="B1924" s="8" t="s">
        <v>1251</v>
      </c>
      <c r="C1924" s="8" t="s">
        <v>24</v>
      </c>
      <c r="D1924" s="8" t="s">
        <v>9</v>
      </c>
      <c r="E1924" s="9">
        <v>27.37</v>
      </c>
      <c r="F1924" s="8" t="s">
        <v>10</v>
      </c>
      <c r="G1924" s="8">
        <v>82.11</v>
      </c>
      <c r="H1924" s="10">
        <f t="shared" si="60"/>
        <v>2</v>
      </c>
      <c r="I1924" s="10">
        <f>YEAR(Sheet1!$A1924)</f>
        <v>2025</v>
      </c>
      <c r="J1924" s="10">
        <f>DAY(Sheet1!$A1924)</f>
        <v>14</v>
      </c>
      <c r="K1924" s="12" t="s">
        <v>2023</v>
      </c>
      <c r="L1924" s="13" t="str">
        <f t="shared" si="61"/>
        <v>Premium Customer</v>
      </c>
    </row>
    <row r="1925" spans="1:12" ht="15.75" customHeight="1" x14ac:dyDescent="0.3">
      <c r="A1925" s="14">
        <v>45774</v>
      </c>
      <c r="B1925" s="15" t="s">
        <v>296</v>
      </c>
      <c r="C1925" s="15" t="s">
        <v>18</v>
      </c>
      <c r="D1925" s="15" t="s">
        <v>9</v>
      </c>
      <c r="E1925" s="16">
        <v>27.39</v>
      </c>
      <c r="F1925" s="15" t="s">
        <v>10</v>
      </c>
      <c r="G1925" s="15">
        <v>82.17</v>
      </c>
      <c r="H1925" s="17">
        <f t="shared" si="60"/>
        <v>4</v>
      </c>
      <c r="I1925" s="17">
        <f>YEAR(Sheet1!$A1925)</f>
        <v>2025</v>
      </c>
      <c r="J1925" s="17">
        <f>DAY(Sheet1!$A1925)</f>
        <v>27</v>
      </c>
      <c r="K1925" s="18" t="s">
        <v>2023</v>
      </c>
      <c r="L1925" s="19" t="str">
        <f t="shared" si="61"/>
        <v>Premium Customer</v>
      </c>
    </row>
    <row r="1926" spans="1:12" ht="15.75" customHeight="1" x14ac:dyDescent="0.3">
      <c r="A1926" s="7">
        <v>45661</v>
      </c>
      <c r="B1926" s="8" t="s">
        <v>390</v>
      </c>
      <c r="C1926" s="8" t="s">
        <v>8</v>
      </c>
      <c r="D1926" s="8" t="s">
        <v>19</v>
      </c>
      <c r="E1926" s="9">
        <v>27.44</v>
      </c>
      <c r="F1926" s="8" t="s">
        <v>10</v>
      </c>
      <c r="G1926" s="8">
        <v>82.32</v>
      </c>
      <c r="H1926" s="10">
        <f t="shared" si="60"/>
        <v>1</v>
      </c>
      <c r="I1926" s="10">
        <f>YEAR(Sheet1!$A1926)</f>
        <v>2025</v>
      </c>
      <c r="J1926" s="10">
        <f>DAY(Sheet1!$A1926)</f>
        <v>4</v>
      </c>
      <c r="K1926" s="12" t="s">
        <v>2023</v>
      </c>
      <c r="L1926" s="13" t="str">
        <f t="shared" si="61"/>
        <v>Premium Customer</v>
      </c>
    </row>
    <row r="1927" spans="1:12" ht="15.75" customHeight="1" x14ac:dyDescent="0.3">
      <c r="A1927" s="14">
        <v>45628</v>
      </c>
      <c r="B1927" s="15" t="s">
        <v>450</v>
      </c>
      <c r="C1927" s="15" t="s">
        <v>24</v>
      </c>
      <c r="D1927" s="15" t="s">
        <v>19</v>
      </c>
      <c r="E1927" s="16">
        <v>27.45</v>
      </c>
      <c r="F1927" s="15" t="s">
        <v>11</v>
      </c>
      <c r="G1927" s="15">
        <v>82.35</v>
      </c>
      <c r="H1927" s="17">
        <f t="shared" si="60"/>
        <v>12</v>
      </c>
      <c r="I1927" s="17">
        <f>YEAR(Sheet1!$A1927)</f>
        <v>2024</v>
      </c>
      <c r="J1927" s="17">
        <f>DAY(Sheet1!$A1927)</f>
        <v>2</v>
      </c>
      <c r="K1927" s="18" t="s">
        <v>2023</v>
      </c>
      <c r="L1927" s="19" t="str">
        <f t="shared" si="61"/>
        <v>Premium Customer</v>
      </c>
    </row>
    <row r="1928" spans="1:12" ht="15.75" customHeight="1" x14ac:dyDescent="0.3">
      <c r="A1928" s="7">
        <v>45704</v>
      </c>
      <c r="B1928" s="8" t="s">
        <v>1476</v>
      </c>
      <c r="C1928" s="8" t="s">
        <v>18</v>
      </c>
      <c r="D1928" s="8" t="s">
        <v>9</v>
      </c>
      <c r="E1928" s="9">
        <v>27.49</v>
      </c>
      <c r="F1928" s="8" t="s">
        <v>10</v>
      </c>
      <c r="G1928" s="8">
        <v>82.47</v>
      </c>
      <c r="H1928" s="10">
        <f t="shared" si="60"/>
        <v>2</v>
      </c>
      <c r="I1928" s="10">
        <f>YEAR(Sheet1!$A1928)</f>
        <v>2025</v>
      </c>
      <c r="J1928" s="10">
        <f>DAY(Sheet1!$A1928)</f>
        <v>16</v>
      </c>
      <c r="K1928" s="12" t="s">
        <v>2022</v>
      </c>
      <c r="L1928" s="13" t="str">
        <f t="shared" si="61"/>
        <v>Premium Customer</v>
      </c>
    </row>
    <row r="1929" spans="1:12" ht="15.75" customHeight="1" x14ac:dyDescent="0.3">
      <c r="A1929" s="14">
        <v>45691</v>
      </c>
      <c r="B1929" s="15" t="s">
        <v>688</v>
      </c>
      <c r="C1929" s="15" t="s">
        <v>8</v>
      </c>
      <c r="D1929" s="15" t="s">
        <v>9</v>
      </c>
      <c r="E1929" s="16">
        <v>27.51</v>
      </c>
      <c r="F1929" s="15" t="s">
        <v>10</v>
      </c>
      <c r="G1929" s="15">
        <v>82.53</v>
      </c>
      <c r="H1929" s="17">
        <f t="shared" si="60"/>
        <v>2</v>
      </c>
      <c r="I1929" s="17">
        <f>YEAR(Sheet1!$A1929)</f>
        <v>2025</v>
      </c>
      <c r="J1929" s="17">
        <f>DAY(Sheet1!$A1929)</f>
        <v>3</v>
      </c>
      <c r="K1929" s="18" t="s">
        <v>2023</v>
      </c>
      <c r="L1929" s="19" t="str">
        <f t="shared" si="61"/>
        <v>Premium Customer</v>
      </c>
    </row>
    <row r="1930" spans="1:12" ht="15.75" customHeight="1" x14ac:dyDescent="0.3">
      <c r="A1930" s="7">
        <v>45722</v>
      </c>
      <c r="B1930" s="8" t="s">
        <v>931</v>
      </c>
      <c r="C1930" s="8" t="s">
        <v>24</v>
      </c>
      <c r="D1930" s="8" t="s">
        <v>9</v>
      </c>
      <c r="E1930" s="9">
        <v>27.53</v>
      </c>
      <c r="F1930" s="8" t="s">
        <v>10</v>
      </c>
      <c r="G1930" s="8">
        <v>82.59</v>
      </c>
      <c r="H1930" s="10">
        <f t="shared" si="60"/>
        <v>3</v>
      </c>
      <c r="I1930" s="10">
        <f>YEAR(Sheet1!$A1930)</f>
        <v>2025</v>
      </c>
      <c r="J1930" s="10">
        <f>DAY(Sheet1!$A1930)</f>
        <v>6</v>
      </c>
      <c r="K1930" s="12" t="s">
        <v>2022</v>
      </c>
      <c r="L1930" s="13" t="str">
        <f t="shared" si="61"/>
        <v>Premium Customer</v>
      </c>
    </row>
    <row r="1931" spans="1:12" ht="15.75" customHeight="1" x14ac:dyDescent="0.3">
      <c r="A1931" s="14">
        <v>45507</v>
      </c>
      <c r="B1931" s="15" t="s">
        <v>612</v>
      </c>
      <c r="C1931" s="15" t="s">
        <v>8</v>
      </c>
      <c r="D1931" s="15" t="s">
        <v>9</v>
      </c>
      <c r="E1931" s="16">
        <v>27.57</v>
      </c>
      <c r="F1931" s="15" t="s">
        <v>10</v>
      </c>
      <c r="G1931" s="15">
        <v>82.71</v>
      </c>
      <c r="H1931" s="17">
        <f t="shared" si="60"/>
        <v>8</v>
      </c>
      <c r="I1931" s="17">
        <f>YEAR(Sheet1!$A1931)</f>
        <v>2024</v>
      </c>
      <c r="J1931" s="17">
        <f>DAY(Sheet1!$A1931)</f>
        <v>3</v>
      </c>
      <c r="K1931" s="18" t="s">
        <v>2022</v>
      </c>
      <c r="L1931" s="19" t="str">
        <f t="shared" si="61"/>
        <v>Premium Customer</v>
      </c>
    </row>
    <row r="1932" spans="1:12" ht="15.75" customHeight="1" x14ac:dyDescent="0.3">
      <c r="A1932" s="7">
        <v>45436</v>
      </c>
      <c r="B1932" s="8" t="s">
        <v>107</v>
      </c>
      <c r="C1932" s="8" t="s">
        <v>24</v>
      </c>
      <c r="D1932" s="8" t="s">
        <v>19</v>
      </c>
      <c r="E1932" s="9">
        <v>27.58</v>
      </c>
      <c r="F1932" s="8" t="s">
        <v>11</v>
      </c>
      <c r="G1932" s="8">
        <v>82.74</v>
      </c>
      <c r="H1932" s="10">
        <f t="shared" si="60"/>
        <v>5</v>
      </c>
      <c r="I1932" s="10">
        <f>YEAR(Sheet1!$A1932)</f>
        <v>2024</v>
      </c>
      <c r="J1932" s="10">
        <f>DAY(Sheet1!$A1932)</f>
        <v>24</v>
      </c>
      <c r="K1932" s="12" t="s">
        <v>2022</v>
      </c>
      <c r="L1932" s="13" t="str">
        <f t="shared" si="61"/>
        <v>Premium Customer</v>
      </c>
    </row>
    <row r="1933" spans="1:12" ht="15.75" customHeight="1" x14ac:dyDescent="0.3">
      <c r="A1933" s="14">
        <v>45488</v>
      </c>
      <c r="B1933" s="15" t="s">
        <v>1516</v>
      </c>
      <c r="C1933" s="15" t="s">
        <v>18</v>
      </c>
      <c r="D1933" s="15" t="s">
        <v>14</v>
      </c>
      <c r="E1933" s="16">
        <v>27.58</v>
      </c>
      <c r="F1933" s="15" t="s">
        <v>11</v>
      </c>
      <c r="G1933" s="15">
        <v>82.74</v>
      </c>
      <c r="H1933" s="17">
        <f t="shared" si="60"/>
        <v>7</v>
      </c>
      <c r="I1933" s="17">
        <f>YEAR(Sheet1!$A1933)</f>
        <v>2024</v>
      </c>
      <c r="J1933" s="17">
        <f>DAY(Sheet1!$A1933)</f>
        <v>15</v>
      </c>
      <c r="K1933" s="18" t="s">
        <v>2023</v>
      </c>
      <c r="L1933" s="19" t="str">
        <f t="shared" si="61"/>
        <v>Premium Customer</v>
      </c>
    </row>
    <row r="1934" spans="1:12" ht="15.75" customHeight="1" x14ac:dyDescent="0.3">
      <c r="A1934" s="7">
        <v>45429</v>
      </c>
      <c r="B1934" s="8" t="s">
        <v>1710</v>
      </c>
      <c r="C1934" s="8" t="s">
        <v>13</v>
      </c>
      <c r="D1934" s="8" t="s">
        <v>14</v>
      </c>
      <c r="E1934" s="9">
        <v>27.59</v>
      </c>
      <c r="F1934" s="8" t="s">
        <v>11</v>
      </c>
      <c r="G1934" s="8">
        <v>82.77</v>
      </c>
      <c r="H1934" s="10">
        <f t="shared" si="60"/>
        <v>5</v>
      </c>
      <c r="I1934" s="10">
        <f>YEAR(Sheet1!$A1934)</f>
        <v>2024</v>
      </c>
      <c r="J1934" s="10">
        <f>DAY(Sheet1!$A1934)</f>
        <v>17</v>
      </c>
      <c r="K1934" s="12" t="s">
        <v>2023</v>
      </c>
      <c r="L1934" s="13" t="str">
        <f t="shared" si="61"/>
        <v>Premium Customer</v>
      </c>
    </row>
    <row r="1935" spans="1:12" ht="15.75" customHeight="1" x14ac:dyDescent="0.3">
      <c r="A1935" s="14">
        <v>45464</v>
      </c>
      <c r="B1935" s="15" t="s">
        <v>1269</v>
      </c>
      <c r="C1935" s="15" t="s">
        <v>13</v>
      </c>
      <c r="D1935" s="15" t="s">
        <v>16</v>
      </c>
      <c r="E1935" s="16">
        <v>27.6</v>
      </c>
      <c r="F1935" s="15" t="s">
        <v>10</v>
      </c>
      <c r="G1935" s="15">
        <v>82.8</v>
      </c>
      <c r="H1935" s="17">
        <f t="shared" si="60"/>
        <v>6</v>
      </c>
      <c r="I1935" s="17">
        <f>YEAR(Sheet1!$A1935)</f>
        <v>2024</v>
      </c>
      <c r="J1935" s="17">
        <f>DAY(Sheet1!$A1935)</f>
        <v>21</v>
      </c>
      <c r="K1935" s="18" t="s">
        <v>2022</v>
      </c>
      <c r="L1935" s="19" t="str">
        <f t="shared" si="61"/>
        <v>Premium Customer</v>
      </c>
    </row>
    <row r="1936" spans="1:12" ht="15.75" customHeight="1" x14ac:dyDescent="0.3">
      <c r="A1936" s="7">
        <v>45719</v>
      </c>
      <c r="B1936" s="8" t="s">
        <v>639</v>
      </c>
      <c r="C1936" s="8" t="s">
        <v>8</v>
      </c>
      <c r="D1936" s="8" t="s">
        <v>16</v>
      </c>
      <c r="E1936" s="9">
        <v>27.61</v>
      </c>
      <c r="F1936" s="8" t="s">
        <v>11</v>
      </c>
      <c r="G1936" s="8">
        <v>82.83</v>
      </c>
      <c r="H1936" s="10">
        <f t="shared" si="60"/>
        <v>3</v>
      </c>
      <c r="I1936" s="10">
        <f>YEAR(Sheet1!$A1936)</f>
        <v>2025</v>
      </c>
      <c r="J1936" s="10">
        <f>DAY(Sheet1!$A1936)</f>
        <v>3</v>
      </c>
      <c r="K1936" s="12" t="s">
        <v>2022</v>
      </c>
      <c r="L1936" s="13" t="str">
        <f t="shared" si="61"/>
        <v>Premium Customer</v>
      </c>
    </row>
    <row r="1937" spans="1:12" ht="15.75" customHeight="1" x14ac:dyDescent="0.3">
      <c r="A1937" s="14">
        <v>45443</v>
      </c>
      <c r="B1937" s="15" t="s">
        <v>1203</v>
      </c>
      <c r="C1937" s="15" t="s">
        <v>13</v>
      </c>
      <c r="D1937" s="15" t="s">
        <v>14</v>
      </c>
      <c r="E1937" s="16">
        <v>27.66</v>
      </c>
      <c r="F1937" s="15" t="s">
        <v>10</v>
      </c>
      <c r="G1937" s="15">
        <v>82.98</v>
      </c>
      <c r="H1937" s="17">
        <f t="shared" si="60"/>
        <v>5</v>
      </c>
      <c r="I1937" s="17">
        <f>YEAR(Sheet1!$A1937)</f>
        <v>2024</v>
      </c>
      <c r="J1937" s="17">
        <f>DAY(Sheet1!$A1937)</f>
        <v>31</v>
      </c>
      <c r="K1937" s="18" t="s">
        <v>2022</v>
      </c>
      <c r="L1937" s="19" t="str">
        <f t="shared" si="61"/>
        <v>Premium Customer</v>
      </c>
    </row>
    <row r="1938" spans="1:12" ht="15.75" customHeight="1" x14ac:dyDescent="0.3">
      <c r="A1938" s="7">
        <v>45428</v>
      </c>
      <c r="B1938" s="8" t="s">
        <v>1142</v>
      </c>
      <c r="C1938" s="8" t="s">
        <v>18</v>
      </c>
      <c r="D1938" s="8" t="s">
        <v>16</v>
      </c>
      <c r="E1938" s="9">
        <v>27.67</v>
      </c>
      <c r="F1938" s="8" t="s">
        <v>10</v>
      </c>
      <c r="G1938" s="8">
        <v>83.01</v>
      </c>
      <c r="H1938" s="10">
        <f t="shared" si="60"/>
        <v>5</v>
      </c>
      <c r="I1938" s="10">
        <f>YEAR(Sheet1!$A1938)</f>
        <v>2024</v>
      </c>
      <c r="J1938" s="10">
        <f>DAY(Sheet1!$A1938)</f>
        <v>16</v>
      </c>
      <c r="K1938" s="12" t="s">
        <v>2023</v>
      </c>
      <c r="L1938" s="13" t="str">
        <f t="shared" si="61"/>
        <v>Premium Customer</v>
      </c>
    </row>
    <row r="1939" spans="1:12" ht="15.75" customHeight="1" x14ac:dyDescent="0.3">
      <c r="A1939" s="14">
        <v>45426</v>
      </c>
      <c r="B1939" s="15" t="s">
        <v>1151</v>
      </c>
      <c r="C1939" s="15" t="s">
        <v>8</v>
      </c>
      <c r="D1939" s="15" t="s">
        <v>16</v>
      </c>
      <c r="E1939" s="16">
        <v>27.75</v>
      </c>
      <c r="F1939" s="15" t="s">
        <v>11</v>
      </c>
      <c r="G1939" s="15">
        <v>83.25</v>
      </c>
      <c r="H1939" s="17">
        <f t="shared" si="60"/>
        <v>5</v>
      </c>
      <c r="I1939" s="17">
        <f>YEAR(Sheet1!$A1939)</f>
        <v>2024</v>
      </c>
      <c r="J1939" s="17">
        <f>DAY(Sheet1!$A1939)</f>
        <v>14</v>
      </c>
      <c r="K1939" s="18" t="s">
        <v>2023</v>
      </c>
      <c r="L1939" s="19" t="str">
        <f t="shared" si="61"/>
        <v>Premium Customer</v>
      </c>
    </row>
    <row r="1940" spans="1:12" ht="15.75" customHeight="1" x14ac:dyDescent="0.3">
      <c r="A1940" s="7">
        <v>45582</v>
      </c>
      <c r="B1940" s="8" t="s">
        <v>1391</v>
      </c>
      <c r="C1940" s="8" t="s">
        <v>18</v>
      </c>
      <c r="D1940" s="8" t="s">
        <v>16</v>
      </c>
      <c r="E1940" s="9">
        <v>27.75</v>
      </c>
      <c r="F1940" s="8" t="s">
        <v>11</v>
      </c>
      <c r="G1940" s="8">
        <v>83.25</v>
      </c>
      <c r="H1940" s="10">
        <f t="shared" si="60"/>
        <v>10</v>
      </c>
      <c r="I1940" s="10">
        <f>YEAR(Sheet1!$A1940)</f>
        <v>2024</v>
      </c>
      <c r="J1940" s="10">
        <f>DAY(Sheet1!$A1940)</f>
        <v>17</v>
      </c>
      <c r="K1940" s="12" t="s">
        <v>2023</v>
      </c>
      <c r="L1940" s="13" t="str">
        <f t="shared" si="61"/>
        <v>Premium Customer</v>
      </c>
    </row>
    <row r="1941" spans="1:12" ht="15.75" customHeight="1" x14ac:dyDescent="0.3">
      <c r="A1941" s="14">
        <v>45735</v>
      </c>
      <c r="B1941" s="15" t="s">
        <v>1891</v>
      </c>
      <c r="C1941" s="15" t="s">
        <v>18</v>
      </c>
      <c r="D1941" s="15" t="s">
        <v>9</v>
      </c>
      <c r="E1941" s="16">
        <v>27.76</v>
      </c>
      <c r="F1941" s="15" t="s">
        <v>10</v>
      </c>
      <c r="G1941" s="15">
        <v>83.28</v>
      </c>
      <c r="H1941" s="17">
        <f t="shared" si="60"/>
        <v>3</v>
      </c>
      <c r="I1941" s="17">
        <f>YEAR(Sheet1!$A1941)</f>
        <v>2025</v>
      </c>
      <c r="J1941" s="17">
        <f>DAY(Sheet1!$A1941)</f>
        <v>19</v>
      </c>
      <c r="K1941" s="18" t="s">
        <v>2022</v>
      </c>
      <c r="L1941" s="19" t="str">
        <f t="shared" si="61"/>
        <v>Premium Customer</v>
      </c>
    </row>
    <row r="1942" spans="1:12" ht="15.75" customHeight="1" x14ac:dyDescent="0.3">
      <c r="A1942" s="7">
        <v>45750</v>
      </c>
      <c r="B1942" s="8" t="s">
        <v>161</v>
      </c>
      <c r="C1942" s="8" t="s">
        <v>8</v>
      </c>
      <c r="D1942" s="8" t="s">
        <v>9</v>
      </c>
      <c r="E1942" s="9">
        <v>27.86</v>
      </c>
      <c r="F1942" s="8" t="s">
        <v>11</v>
      </c>
      <c r="G1942" s="8">
        <v>83.58</v>
      </c>
      <c r="H1942" s="10">
        <f t="shared" si="60"/>
        <v>4</v>
      </c>
      <c r="I1942" s="10">
        <f>YEAR(Sheet1!$A1942)</f>
        <v>2025</v>
      </c>
      <c r="J1942" s="10">
        <f>DAY(Sheet1!$A1942)</f>
        <v>3</v>
      </c>
      <c r="K1942" s="12" t="s">
        <v>2022</v>
      </c>
      <c r="L1942" s="13" t="str">
        <f t="shared" si="61"/>
        <v>Premium Customer</v>
      </c>
    </row>
    <row r="1943" spans="1:12" ht="15.75" customHeight="1" x14ac:dyDescent="0.3">
      <c r="A1943" s="14">
        <v>45499</v>
      </c>
      <c r="B1943" s="15" t="s">
        <v>499</v>
      </c>
      <c r="C1943" s="15" t="s">
        <v>13</v>
      </c>
      <c r="D1943" s="15" t="s">
        <v>16</v>
      </c>
      <c r="E1943" s="16">
        <v>27.88</v>
      </c>
      <c r="F1943" s="15" t="s">
        <v>11</v>
      </c>
      <c r="G1943" s="15">
        <v>83.64</v>
      </c>
      <c r="H1943" s="17">
        <f t="shared" si="60"/>
        <v>7</v>
      </c>
      <c r="I1943" s="17">
        <f>YEAR(Sheet1!$A1943)</f>
        <v>2024</v>
      </c>
      <c r="J1943" s="17">
        <f>DAY(Sheet1!$A1943)</f>
        <v>26</v>
      </c>
      <c r="K1943" s="18" t="s">
        <v>2022</v>
      </c>
      <c r="L1943" s="19" t="str">
        <f t="shared" si="61"/>
        <v>Premium Customer</v>
      </c>
    </row>
    <row r="1944" spans="1:12" ht="15.75" customHeight="1" x14ac:dyDescent="0.3">
      <c r="A1944" s="7">
        <v>45468</v>
      </c>
      <c r="B1944" s="8" t="s">
        <v>1352</v>
      </c>
      <c r="C1944" s="8" t="s">
        <v>13</v>
      </c>
      <c r="D1944" s="8" t="s">
        <v>19</v>
      </c>
      <c r="E1944" s="9">
        <v>27.96</v>
      </c>
      <c r="F1944" s="8" t="s">
        <v>10</v>
      </c>
      <c r="G1944" s="8">
        <v>83.88</v>
      </c>
      <c r="H1944" s="10">
        <f t="shared" si="60"/>
        <v>6</v>
      </c>
      <c r="I1944" s="10">
        <f>YEAR(Sheet1!$A1944)</f>
        <v>2024</v>
      </c>
      <c r="J1944" s="10">
        <f>DAY(Sheet1!$A1944)</f>
        <v>25</v>
      </c>
      <c r="K1944" s="12" t="s">
        <v>2023</v>
      </c>
      <c r="L1944" s="13" t="str">
        <f t="shared" si="61"/>
        <v>Premium Customer</v>
      </c>
    </row>
    <row r="1945" spans="1:12" ht="15.75" customHeight="1" x14ac:dyDescent="0.3">
      <c r="A1945" s="14">
        <v>45506</v>
      </c>
      <c r="B1945" s="15" t="s">
        <v>469</v>
      </c>
      <c r="C1945" s="15" t="s">
        <v>24</v>
      </c>
      <c r="D1945" s="15" t="s">
        <v>19</v>
      </c>
      <c r="E1945" s="16">
        <v>28</v>
      </c>
      <c r="F1945" s="15" t="s">
        <v>11</v>
      </c>
      <c r="G1945" s="15">
        <v>84</v>
      </c>
      <c r="H1945" s="17">
        <f t="shared" si="60"/>
        <v>8</v>
      </c>
      <c r="I1945" s="17">
        <f>YEAR(Sheet1!$A1945)</f>
        <v>2024</v>
      </c>
      <c r="J1945" s="17">
        <f>DAY(Sheet1!$A1945)</f>
        <v>2</v>
      </c>
      <c r="K1945" s="18" t="s">
        <v>2023</v>
      </c>
      <c r="L1945" s="19" t="str">
        <f t="shared" si="61"/>
        <v>Premium Customer</v>
      </c>
    </row>
    <row r="1946" spans="1:12" ht="15.75" customHeight="1" x14ac:dyDescent="0.3">
      <c r="A1946" s="7">
        <v>45536</v>
      </c>
      <c r="B1946" s="8" t="s">
        <v>385</v>
      </c>
      <c r="C1946" s="8" t="s">
        <v>8</v>
      </c>
      <c r="D1946" s="8" t="s">
        <v>14</v>
      </c>
      <c r="E1946" s="9">
        <v>28.08</v>
      </c>
      <c r="F1946" s="8" t="s">
        <v>11</v>
      </c>
      <c r="G1946" s="8">
        <v>84.24</v>
      </c>
      <c r="H1946" s="10">
        <f t="shared" si="60"/>
        <v>9</v>
      </c>
      <c r="I1946" s="10">
        <f>YEAR(Sheet1!$A1946)</f>
        <v>2024</v>
      </c>
      <c r="J1946" s="10">
        <f>DAY(Sheet1!$A1946)</f>
        <v>1</v>
      </c>
      <c r="K1946" s="12" t="s">
        <v>2023</v>
      </c>
      <c r="L1946" s="13" t="str">
        <f t="shared" si="61"/>
        <v>Premium Customer</v>
      </c>
    </row>
    <row r="1947" spans="1:12" ht="15.75" customHeight="1" x14ac:dyDescent="0.3">
      <c r="A1947" s="14">
        <v>45633</v>
      </c>
      <c r="B1947" s="15" t="s">
        <v>34</v>
      </c>
      <c r="C1947" s="15" t="s">
        <v>18</v>
      </c>
      <c r="D1947" s="15" t="s">
        <v>14</v>
      </c>
      <c r="E1947" s="16">
        <v>28.21</v>
      </c>
      <c r="F1947" s="15" t="s">
        <v>10</v>
      </c>
      <c r="G1947" s="15">
        <v>84.63</v>
      </c>
      <c r="H1947" s="17">
        <f t="shared" si="60"/>
        <v>12</v>
      </c>
      <c r="I1947" s="17">
        <f>YEAR(Sheet1!$A1947)</f>
        <v>2024</v>
      </c>
      <c r="J1947" s="17">
        <f>DAY(Sheet1!$A1947)</f>
        <v>7</v>
      </c>
      <c r="K1947" s="18" t="s">
        <v>2023</v>
      </c>
      <c r="L1947" s="19" t="str">
        <f t="shared" si="61"/>
        <v>Premium Customer</v>
      </c>
    </row>
    <row r="1948" spans="1:12" ht="15.75" customHeight="1" x14ac:dyDescent="0.3">
      <c r="A1948" s="7">
        <v>45580</v>
      </c>
      <c r="B1948" s="8" t="s">
        <v>1437</v>
      </c>
      <c r="C1948" s="8" t="s">
        <v>8</v>
      </c>
      <c r="D1948" s="8" t="s">
        <v>9</v>
      </c>
      <c r="E1948" s="9">
        <v>28.25</v>
      </c>
      <c r="F1948" s="8" t="s">
        <v>10</v>
      </c>
      <c r="G1948" s="8">
        <v>84.75</v>
      </c>
      <c r="H1948" s="10">
        <f t="shared" si="60"/>
        <v>10</v>
      </c>
      <c r="I1948" s="10">
        <f>YEAR(Sheet1!$A1948)</f>
        <v>2024</v>
      </c>
      <c r="J1948" s="10">
        <f>DAY(Sheet1!$A1948)</f>
        <v>15</v>
      </c>
      <c r="K1948" s="12" t="s">
        <v>2023</v>
      </c>
      <c r="L1948" s="13" t="str">
        <f t="shared" si="61"/>
        <v>Premium Customer</v>
      </c>
    </row>
    <row r="1949" spans="1:12" ht="15.75" customHeight="1" x14ac:dyDescent="0.3">
      <c r="A1949" s="14">
        <v>45728</v>
      </c>
      <c r="B1949" s="15" t="s">
        <v>965</v>
      </c>
      <c r="C1949" s="15" t="s">
        <v>13</v>
      </c>
      <c r="D1949" s="15" t="s">
        <v>19</v>
      </c>
      <c r="E1949" s="16">
        <v>28.25</v>
      </c>
      <c r="F1949" s="15" t="s">
        <v>10</v>
      </c>
      <c r="G1949" s="15">
        <v>84.75</v>
      </c>
      <c r="H1949" s="17">
        <f t="shared" si="60"/>
        <v>3</v>
      </c>
      <c r="I1949" s="17">
        <f>YEAR(Sheet1!$A1949)</f>
        <v>2025</v>
      </c>
      <c r="J1949" s="17">
        <f>DAY(Sheet1!$A1949)</f>
        <v>12</v>
      </c>
      <c r="K1949" s="18" t="s">
        <v>2023</v>
      </c>
      <c r="L1949" s="19" t="str">
        <f t="shared" si="61"/>
        <v>Premium Customer</v>
      </c>
    </row>
    <row r="1950" spans="1:12" ht="15.75" customHeight="1" x14ac:dyDescent="0.3">
      <c r="A1950" s="7">
        <v>45502</v>
      </c>
      <c r="B1950" s="8" t="s">
        <v>1608</v>
      </c>
      <c r="C1950" s="8" t="s">
        <v>13</v>
      </c>
      <c r="D1950" s="8" t="s">
        <v>19</v>
      </c>
      <c r="E1950" s="9">
        <v>28.29</v>
      </c>
      <c r="F1950" s="8" t="s">
        <v>11</v>
      </c>
      <c r="G1950" s="8">
        <v>84.87</v>
      </c>
      <c r="H1950" s="10">
        <f t="shared" si="60"/>
        <v>7</v>
      </c>
      <c r="I1950" s="10">
        <f>YEAR(Sheet1!$A1950)</f>
        <v>2024</v>
      </c>
      <c r="J1950" s="10">
        <f>DAY(Sheet1!$A1950)</f>
        <v>29</v>
      </c>
      <c r="K1950" s="12" t="s">
        <v>2022</v>
      </c>
      <c r="L1950" s="13" t="str">
        <f t="shared" si="61"/>
        <v>Premium Customer</v>
      </c>
    </row>
    <row r="1951" spans="1:12" ht="15.75" customHeight="1" x14ac:dyDescent="0.3">
      <c r="A1951" s="14">
        <v>45719</v>
      </c>
      <c r="B1951" s="15" t="s">
        <v>448</v>
      </c>
      <c r="C1951" s="15" t="s">
        <v>18</v>
      </c>
      <c r="D1951" s="15" t="s">
        <v>9</v>
      </c>
      <c r="E1951" s="16">
        <v>28.32</v>
      </c>
      <c r="F1951" s="15" t="s">
        <v>10</v>
      </c>
      <c r="G1951" s="15">
        <v>84.96</v>
      </c>
      <c r="H1951" s="17">
        <f t="shared" si="60"/>
        <v>3</v>
      </c>
      <c r="I1951" s="17">
        <f>YEAR(Sheet1!$A1951)</f>
        <v>2025</v>
      </c>
      <c r="J1951" s="17">
        <f>DAY(Sheet1!$A1951)</f>
        <v>3</v>
      </c>
      <c r="K1951" s="18" t="s">
        <v>2023</v>
      </c>
      <c r="L1951" s="19" t="str">
        <f t="shared" si="61"/>
        <v>Premium Customer</v>
      </c>
    </row>
    <row r="1952" spans="1:12" ht="15.75" customHeight="1" x14ac:dyDescent="0.3">
      <c r="A1952" s="7">
        <v>45425</v>
      </c>
      <c r="B1952" s="8" t="s">
        <v>1973</v>
      </c>
      <c r="C1952" s="8" t="s">
        <v>18</v>
      </c>
      <c r="D1952" s="8" t="s">
        <v>9</v>
      </c>
      <c r="E1952" s="9">
        <v>28.39</v>
      </c>
      <c r="F1952" s="8" t="s">
        <v>10</v>
      </c>
      <c r="G1952" s="8">
        <v>85.17</v>
      </c>
      <c r="H1952" s="10">
        <f t="shared" si="60"/>
        <v>5</v>
      </c>
      <c r="I1952" s="10">
        <f>YEAR(Sheet1!$A1952)</f>
        <v>2024</v>
      </c>
      <c r="J1952" s="10">
        <f>DAY(Sheet1!$A1952)</f>
        <v>13</v>
      </c>
      <c r="K1952" s="12" t="s">
        <v>2022</v>
      </c>
      <c r="L1952" s="13" t="str">
        <f t="shared" si="61"/>
        <v>Premium Customer</v>
      </c>
    </row>
    <row r="1953" spans="1:12" ht="15.75" customHeight="1" x14ac:dyDescent="0.3">
      <c r="A1953" s="14">
        <v>45648</v>
      </c>
      <c r="B1953" s="15" t="s">
        <v>106</v>
      </c>
      <c r="C1953" s="15" t="s">
        <v>18</v>
      </c>
      <c r="D1953" s="15" t="s">
        <v>19</v>
      </c>
      <c r="E1953" s="16">
        <v>28.4</v>
      </c>
      <c r="F1953" s="15" t="s">
        <v>10</v>
      </c>
      <c r="G1953" s="15">
        <v>85.2</v>
      </c>
      <c r="H1953" s="17">
        <f t="shared" si="60"/>
        <v>12</v>
      </c>
      <c r="I1953" s="17">
        <f>YEAR(Sheet1!$A1953)</f>
        <v>2024</v>
      </c>
      <c r="J1953" s="17">
        <f>DAY(Sheet1!$A1953)</f>
        <v>22</v>
      </c>
      <c r="K1953" s="18" t="s">
        <v>2022</v>
      </c>
      <c r="L1953" s="19" t="str">
        <f t="shared" si="61"/>
        <v>Premium Customer</v>
      </c>
    </row>
    <row r="1954" spans="1:12" ht="15.75" customHeight="1" x14ac:dyDescent="0.3">
      <c r="A1954" s="7">
        <v>45424</v>
      </c>
      <c r="B1954" s="8" t="s">
        <v>1841</v>
      </c>
      <c r="C1954" s="8" t="s">
        <v>13</v>
      </c>
      <c r="D1954" s="8" t="s">
        <v>16</v>
      </c>
      <c r="E1954" s="9">
        <v>28.44</v>
      </c>
      <c r="F1954" s="8" t="s">
        <v>10</v>
      </c>
      <c r="G1954" s="8">
        <v>85.32</v>
      </c>
      <c r="H1954" s="10">
        <f t="shared" si="60"/>
        <v>5</v>
      </c>
      <c r="I1954" s="10">
        <f>YEAR(Sheet1!$A1954)</f>
        <v>2024</v>
      </c>
      <c r="J1954" s="10">
        <f>DAY(Sheet1!$A1954)</f>
        <v>12</v>
      </c>
      <c r="K1954" s="12" t="s">
        <v>2023</v>
      </c>
      <c r="L1954" s="13" t="str">
        <f t="shared" si="61"/>
        <v>Premium Customer</v>
      </c>
    </row>
    <row r="1955" spans="1:12" ht="15.75" customHeight="1" x14ac:dyDescent="0.3">
      <c r="A1955" s="14">
        <v>45571</v>
      </c>
      <c r="B1955" s="15" t="s">
        <v>746</v>
      </c>
      <c r="C1955" s="15" t="s">
        <v>24</v>
      </c>
      <c r="D1955" s="15" t="s">
        <v>14</v>
      </c>
      <c r="E1955" s="16">
        <v>28.55</v>
      </c>
      <c r="F1955" s="15" t="s">
        <v>10</v>
      </c>
      <c r="G1955" s="15">
        <v>85.65</v>
      </c>
      <c r="H1955" s="17">
        <f t="shared" si="60"/>
        <v>10</v>
      </c>
      <c r="I1955" s="17">
        <f>YEAR(Sheet1!$A1955)</f>
        <v>2024</v>
      </c>
      <c r="J1955" s="17">
        <f>DAY(Sheet1!$A1955)</f>
        <v>6</v>
      </c>
      <c r="K1955" s="18" t="s">
        <v>2022</v>
      </c>
      <c r="L1955" s="19" t="str">
        <f t="shared" si="61"/>
        <v>Premium Customer</v>
      </c>
    </row>
    <row r="1956" spans="1:12" ht="15.75" customHeight="1" x14ac:dyDescent="0.3">
      <c r="A1956" s="7">
        <v>45639</v>
      </c>
      <c r="B1956" s="8" t="s">
        <v>1072</v>
      </c>
      <c r="C1956" s="8" t="s">
        <v>13</v>
      </c>
      <c r="D1956" s="8" t="s">
        <v>9</v>
      </c>
      <c r="E1956" s="9">
        <v>28.56</v>
      </c>
      <c r="F1956" s="8" t="s">
        <v>11</v>
      </c>
      <c r="G1956" s="8">
        <v>85.68</v>
      </c>
      <c r="H1956" s="10">
        <f t="shared" si="60"/>
        <v>12</v>
      </c>
      <c r="I1956" s="10">
        <f>YEAR(Sheet1!$A1956)</f>
        <v>2024</v>
      </c>
      <c r="J1956" s="10">
        <f>DAY(Sheet1!$A1956)</f>
        <v>13</v>
      </c>
      <c r="K1956" s="12" t="s">
        <v>2023</v>
      </c>
      <c r="L1956" s="13" t="str">
        <f t="shared" si="61"/>
        <v>Premium Customer</v>
      </c>
    </row>
    <row r="1957" spans="1:12" ht="15.75" customHeight="1" x14ac:dyDescent="0.3">
      <c r="A1957" s="14">
        <v>45562</v>
      </c>
      <c r="B1957" s="15" t="s">
        <v>719</v>
      </c>
      <c r="C1957" s="15" t="s">
        <v>24</v>
      </c>
      <c r="D1957" s="15" t="s">
        <v>16</v>
      </c>
      <c r="E1957" s="16">
        <v>28.61</v>
      </c>
      <c r="F1957" s="15" t="s">
        <v>11</v>
      </c>
      <c r="G1957" s="15">
        <v>85.83</v>
      </c>
      <c r="H1957" s="17">
        <f t="shared" si="60"/>
        <v>9</v>
      </c>
      <c r="I1957" s="17">
        <f>YEAR(Sheet1!$A1957)</f>
        <v>2024</v>
      </c>
      <c r="J1957" s="17">
        <f>DAY(Sheet1!$A1957)</f>
        <v>27</v>
      </c>
      <c r="K1957" s="18" t="s">
        <v>2022</v>
      </c>
      <c r="L1957" s="19" t="str">
        <f t="shared" si="61"/>
        <v>Premium Customer</v>
      </c>
    </row>
    <row r="1958" spans="1:12" ht="15.75" customHeight="1" x14ac:dyDescent="0.3">
      <c r="A1958" s="7">
        <v>45471</v>
      </c>
      <c r="B1958" s="8" t="s">
        <v>899</v>
      </c>
      <c r="C1958" s="8" t="s">
        <v>24</v>
      </c>
      <c r="D1958" s="8" t="s">
        <v>14</v>
      </c>
      <c r="E1958" s="9">
        <v>28.62</v>
      </c>
      <c r="F1958" s="8" t="s">
        <v>11</v>
      </c>
      <c r="G1958" s="8">
        <v>85.86</v>
      </c>
      <c r="H1958" s="10">
        <f t="shared" si="60"/>
        <v>6</v>
      </c>
      <c r="I1958" s="10">
        <f>YEAR(Sheet1!$A1958)</f>
        <v>2024</v>
      </c>
      <c r="J1958" s="10">
        <f>DAY(Sheet1!$A1958)</f>
        <v>28</v>
      </c>
      <c r="K1958" s="12" t="s">
        <v>2022</v>
      </c>
      <c r="L1958" s="13" t="str">
        <f t="shared" si="61"/>
        <v>Premium Customer</v>
      </c>
    </row>
    <row r="1959" spans="1:12" ht="15.75" customHeight="1" x14ac:dyDescent="0.3">
      <c r="A1959" s="14">
        <v>45712</v>
      </c>
      <c r="B1959" s="15" t="s">
        <v>573</v>
      </c>
      <c r="C1959" s="15" t="s">
        <v>13</v>
      </c>
      <c r="D1959" s="15" t="s">
        <v>19</v>
      </c>
      <c r="E1959" s="16">
        <v>28.65</v>
      </c>
      <c r="F1959" s="15" t="s">
        <v>10</v>
      </c>
      <c r="G1959" s="15">
        <v>85.95</v>
      </c>
      <c r="H1959" s="17">
        <f t="shared" si="60"/>
        <v>2</v>
      </c>
      <c r="I1959" s="17">
        <f>YEAR(Sheet1!$A1959)</f>
        <v>2025</v>
      </c>
      <c r="J1959" s="17">
        <f>DAY(Sheet1!$A1959)</f>
        <v>24</v>
      </c>
      <c r="K1959" s="18" t="s">
        <v>2022</v>
      </c>
      <c r="L1959" s="19" t="str">
        <f t="shared" si="61"/>
        <v>Premium Customer</v>
      </c>
    </row>
    <row r="1960" spans="1:12" ht="15.75" customHeight="1" x14ac:dyDescent="0.3">
      <c r="A1960" s="7">
        <v>45677</v>
      </c>
      <c r="B1960" s="8" t="s">
        <v>274</v>
      </c>
      <c r="C1960" s="8" t="s">
        <v>8</v>
      </c>
      <c r="D1960" s="8" t="s">
        <v>16</v>
      </c>
      <c r="E1960" s="9">
        <v>28.7</v>
      </c>
      <c r="F1960" s="8" t="s">
        <v>11</v>
      </c>
      <c r="G1960" s="8">
        <v>86.1</v>
      </c>
      <c r="H1960" s="10">
        <f t="shared" si="60"/>
        <v>1</v>
      </c>
      <c r="I1960" s="10">
        <f>YEAR(Sheet1!$A1960)</f>
        <v>2025</v>
      </c>
      <c r="J1960" s="10">
        <f>DAY(Sheet1!$A1960)</f>
        <v>20</v>
      </c>
      <c r="K1960" s="12" t="s">
        <v>2023</v>
      </c>
      <c r="L1960" s="13" t="str">
        <f t="shared" si="61"/>
        <v>Premium Customer</v>
      </c>
    </row>
    <row r="1961" spans="1:12" ht="15.75" customHeight="1" x14ac:dyDescent="0.3">
      <c r="A1961" s="14">
        <v>45434</v>
      </c>
      <c r="B1961" s="15" t="s">
        <v>780</v>
      </c>
      <c r="C1961" s="15" t="s">
        <v>24</v>
      </c>
      <c r="D1961" s="15" t="s">
        <v>19</v>
      </c>
      <c r="E1961" s="16">
        <v>28.71</v>
      </c>
      <c r="F1961" s="15" t="s">
        <v>10</v>
      </c>
      <c r="G1961" s="15">
        <v>86.13</v>
      </c>
      <c r="H1961" s="17">
        <f t="shared" si="60"/>
        <v>5</v>
      </c>
      <c r="I1961" s="17">
        <f>YEAR(Sheet1!$A1961)</f>
        <v>2024</v>
      </c>
      <c r="J1961" s="17">
        <f>DAY(Sheet1!$A1961)</f>
        <v>22</v>
      </c>
      <c r="K1961" s="18" t="s">
        <v>2022</v>
      </c>
      <c r="L1961" s="19" t="str">
        <f t="shared" si="61"/>
        <v>Premium Customer</v>
      </c>
    </row>
    <row r="1962" spans="1:12" ht="15.75" customHeight="1" x14ac:dyDescent="0.3">
      <c r="A1962" s="7">
        <v>45586</v>
      </c>
      <c r="B1962" s="8" t="s">
        <v>183</v>
      </c>
      <c r="C1962" s="8" t="s">
        <v>13</v>
      </c>
      <c r="D1962" s="8" t="s">
        <v>16</v>
      </c>
      <c r="E1962" s="9">
        <v>28.72</v>
      </c>
      <c r="F1962" s="8" t="s">
        <v>11</v>
      </c>
      <c r="G1962" s="8">
        <v>86.16</v>
      </c>
      <c r="H1962" s="10">
        <f t="shared" si="60"/>
        <v>10</v>
      </c>
      <c r="I1962" s="10">
        <f>YEAR(Sheet1!$A1962)</f>
        <v>2024</v>
      </c>
      <c r="J1962" s="10">
        <f>DAY(Sheet1!$A1962)</f>
        <v>21</v>
      </c>
      <c r="K1962" s="12" t="s">
        <v>2023</v>
      </c>
      <c r="L1962" s="13" t="str">
        <f t="shared" si="61"/>
        <v>Premium Customer</v>
      </c>
    </row>
    <row r="1963" spans="1:12" ht="15.75" customHeight="1" x14ac:dyDescent="0.3">
      <c r="A1963" s="14">
        <v>45518</v>
      </c>
      <c r="B1963" s="15" t="s">
        <v>1616</v>
      </c>
      <c r="C1963" s="15" t="s">
        <v>24</v>
      </c>
      <c r="D1963" s="15" t="s">
        <v>14</v>
      </c>
      <c r="E1963" s="16">
        <v>28.77</v>
      </c>
      <c r="F1963" s="15" t="s">
        <v>10</v>
      </c>
      <c r="G1963" s="15">
        <v>86.31</v>
      </c>
      <c r="H1963" s="17">
        <f t="shared" si="60"/>
        <v>8</v>
      </c>
      <c r="I1963" s="17">
        <f>YEAR(Sheet1!$A1963)</f>
        <v>2024</v>
      </c>
      <c r="J1963" s="17">
        <f>DAY(Sheet1!$A1963)</f>
        <v>14</v>
      </c>
      <c r="K1963" s="18" t="s">
        <v>2022</v>
      </c>
      <c r="L1963" s="19" t="str">
        <f t="shared" si="61"/>
        <v>Premium Customer</v>
      </c>
    </row>
    <row r="1964" spans="1:12" ht="15.75" customHeight="1" x14ac:dyDescent="0.3">
      <c r="A1964" s="7">
        <v>45630</v>
      </c>
      <c r="B1964" s="8" t="s">
        <v>62</v>
      </c>
      <c r="C1964" s="8" t="s">
        <v>13</v>
      </c>
      <c r="D1964" s="8" t="s">
        <v>14</v>
      </c>
      <c r="E1964" s="9">
        <v>28.8</v>
      </c>
      <c r="F1964" s="8" t="s">
        <v>10</v>
      </c>
      <c r="G1964" s="8">
        <v>86.4</v>
      </c>
      <c r="H1964" s="10">
        <f t="shared" si="60"/>
        <v>12</v>
      </c>
      <c r="I1964" s="10">
        <f>YEAR(Sheet1!$A1964)</f>
        <v>2024</v>
      </c>
      <c r="J1964" s="10">
        <f>DAY(Sheet1!$A1964)</f>
        <v>4</v>
      </c>
      <c r="K1964" s="12" t="s">
        <v>2022</v>
      </c>
      <c r="L1964" s="13" t="str">
        <f t="shared" si="61"/>
        <v>Premium Customer</v>
      </c>
    </row>
    <row r="1965" spans="1:12" ht="15.75" customHeight="1" x14ac:dyDescent="0.3">
      <c r="A1965" s="14">
        <v>45742</v>
      </c>
      <c r="B1965" s="15" t="s">
        <v>1601</v>
      </c>
      <c r="C1965" s="15" t="s">
        <v>18</v>
      </c>
      <c r="D1965" s="15" t="s">
        <v>14</v>
      </c>
      <c r="E1965" s="16">
        <v>28.82</v>
      </c>
      <c r="F1965" s="15" t="s">
        <v>10</v>
      </c>
      <c r="G1965" s="15">
        <v>86.46</v>
      </c>
      <c r="H1965" s="17">
        <f t="shared" si="60"/>
        <v>3</v>
      </c>
      <c r="I1965" s="17">
        <f>YEAR(Sheet1!$A1965)</f>
        <v>2025</v>
      </c>
      <c r="J1965" s="17">
        <f>DAY(Sheet1!$A1965)</f>
        <v>26</v>
      </c>
      <c r="K1965" s="18" t="s">
        <v>2023</v>
      </c>
      <c r="L1965" s="19" t="str">
        <f t="shared" si="61"/>
        <v>Premium Customer</v>
      </c>
    </row>
    <row r="1966" spans="1:12" ht="15.75" customHeight="1" x14ac:dyDescent="0.3">
      <c r="A1966" s="7">
        <v>45704</v>
      </c>
      <c r="B1966" s="8" t="s">
        <v>742</v>
      </c>
      <c r="C1966" s="8" t="s">
        <v>8</v>
      </c>
      <c r="D1966" s="8" t="s">
        <v>14</v>
      </c>
      <c r="E1966" s="9">
        <v>28.83</v>
      </c>
      <c r="F1966" s="8" t="s">
        <v>11</v>
      </c>
      <c r="G1966" s="8">
        <v>86.49</v>
      </c>
      <c r="H1966" s="10">
        <f t="shared" si="60"/>
        <v>2</v>
      </c>
      <c r="I1966" s="10">
        <f>YEAR(Sheet1!$A1966)</f>
        <v>2025</v>
      </c>
      <c r="J1966" s="10">
        <f>DAY(Sheet1!$A1966)</f>
        <v>16</v>
      </c>
      <c r="K1966" s="12" t="s">
        <v>2023</v>
      </c>
      <c r="L1966" s="13" t="str">
        <f t="shared" si="61"/>
        <v>Premium Customer</v>
      </c>
    </row>
    <row r="1967" spans="1:12" ht="15.75" customHeight="1" x14ac:dyDescent="0.3">
      <c r="A1967" s="14">
        <v>45505</v>
      </c>
      <c r="B1967" s="15" t="s">
        <v>271</v>
      </c>
      <c r="C1967" s="15" t="s">
        <v>18</v>
      </c>
      <c r="D1967" s="15" t="s">
        <v>16</v>
      </c>
      <c r="E1967" s="16">
        <v>28.84</v>
      </c>
      <c r="F1967" s="15" t="s">
        <v>10</v>
      </c>
      <c r="G1967" s="15">
        <v>86.52</v>
      </c>
      <c r="H1967" s="17">
        <f t="shared" si="60"/>
        <v>8</v>
      </c>
      <c r="I1967" s="17">
        <f>YEAR(Sheet1!$A1967)</f>
        <v>2024</v>
      </c>
      <c r="J1967" s="17">
        <f>DAY(Sheet1!$A1967)</f>
        <v>1</v>
      </c>
      <c r="K1967" s="18" t="s">
        <v>2022</v>
      </c>
      <c r="L1967" s="19" t="str">
        <f t="shared" si="61"/>
        <v>Premium Customer</v>
      </c>
    </row>
    <row r="1968" spans="1:12" ht="15.75" customHeight="1" x14ac:dyDescent="0.3">
      <c r="A1968" s="7">
        <v>45574</v>
      </c>
      <c r="B1968" s="8" t="s">
        <v>401</v>
      </c>
      <c r="C1968" s="8" t="s">
        <v>24</v>
      </c>
      <c r="D1968" s="8" t="s">
        <v>16</v>
      </c>
      <c r="E1968" s="9">
        <v>28.87</v>
      </c>
      <c r="F1968" s="8" t="s">
        <v>10</v>
      </c>
      <c r="G1968" s="8">
        <v>86.61</v>
      </c>
      <c r="H1968" s="10">
        <f t="shared" si="60"/>
        <v>10</v>
      </c>
      <c r="I1968" s="10">
        <f>YEAR(Sheet1!$A1968)</f>
        <v>2024</v>
      </c>
      <c r="J1968" s="10">
        <f>DAY(Sheet1!$A1968)</f>
        <v>9</v>
      </c>
      <c r="K1968" s="12" t="s">
        <v>2022</v>
      </c>
      <c r="L1968" s="13" t="str">
        <f t="shared" si="61"/>
        <v>Premium Customer</v>
      </c>
    </row>
    <row r="1969" spans="1:12" ht="15.75" customHeight="1" x14ac:dyDescent="0.3">
      <c r="A1969" s="14">
        <v>45637</v>
      </c>
      <c r="B1969" s="15" t="s">
        <v>312</v>
      </c>
      <c r="C1969" s="15" t="s">
        <v>18</v>
      </c>
      <c r="D1969" s="15" t="s">
        <v>14</v>
      </c>
      <c r="E1969" s="16">
        <v>28.87</v>
      </c>
      <c r="F1969" s="15" t="s">
        <v>11</v>
      </c>
      <c r="G1969" s="15">
        <v>86.61</v>
      </c>
      <c r="H1969" s="17">
        <f t="shared" si="60"/>
        <v>12</v>
      </c>
      <c r="I1969" s="17">
        <f>YEAR(Sheet1!$A1969)</f>
        <v>2024</v>
      </c>
      <c r="J1969" s="17">
        <f>DAY(Sheet1!$A1969)</f>
        <v>11</v>
      </c>
      <c r="K1969" s="18" t="s">
        <v>2023</v>
      </c>
      <c r="L1969" s="19" t="str">
        <f t="shared" si="61"/>
        <v>Premium Customer</v>
      </c>
    </row>
    <row r="1970" spans="1:12" ht="15.75" customHeight="1" x14ac:dyDescent="0.3">
      <c r="A1970" s="7">
        <v>45417</v>
      </c>
      <c r="B1970" s="8" t="s">
        <v>218</v>
      </c>
      <c r="C1970" s="8" t="s">
        <v>8</v>
      </c>
      <c r="D1970" s="8" t="s">
        <v>19</v>
      </c>
      <c r="E1970" s="9">
        <v>28.88</v>
      </c>
      <c r="F1970" s="8" t="s">
        <v>11</v>
      </c>
      <c r="G1970" s="8">
        <v>86.64</v>
      </c>
      <c r="H1970" s="10">
        <f t="shared" si="60"/>
        <v>5</v>
      </c>
      <c r="I1970" s="10">
        <f>YEAR(Sheet1!$A1970)</f>
        <v>2024</v>
      </c>
      <c r="J1970" s="10">
        <f>DAY(Sheet1!$A1970)</f>
        <v>5</v>
      </c>
      <c r="K1970" s="12" t="s">
        <v>2022</v>
      </c>
      <c r="L1970" s="13" t="str">
        <f t="shared" si="61"/>
        <v>Premium Customer</v>
      </c>
    </row>
    <row r="1971" spans="1:12" ht="15.75" customHeight="1" x14ac:dyDescent="0.3">
      <c r="A1971" s="14">
        <v>45537</v>
      </c>
      <c r="B1971" s="15" t="s">
        <v>991</v>
      </c>
      <c r="C1971" s="15" t="s">
        <v>24</v>
      </c>
      <c r="D1971" s="15" t="s">
        <v>16</v>
      </c>
      <c r="E1971" s="16">
        <v>28.89</v>
      </c>
      <c r="F1971" s="15" t="s">
        <v>10</v>
      </c>
      <c r="G1971" s="15">
        <v>86.67</v>
      </c>
      <c r="H1971" s="17">
        <f t="shared" si="60"/>
        <v>9</v>
      </c>
      <c r="I1971" s="17">
        <f>YEAR(Sheet1!$A1971)</f>
        <v>2024</v>
      </c>
      <c r="J1971" s="17">
        <f>DAY(Sheet1!$A1971)</f>
        <v>2</v>
      </c>
      <c r="K1971" s="18" t="s">
        <v>2023</v>
      </c>
      <c r="L1971" s="19" t="str">
        <f t="shared" si="61"/>
        <v>Premium Customer</v>
      </c>
    </row>
    <row r="1972" spans="1:12" ht="15.75" customHeight="1" x14ac:dyDescent="0.3">
      <c r="A1972" s="7">
        <v>45709</v>
      </c>
      <c r="B1972" s="8" t="s">
        <v>1923</v>
      </c>
      <c r="C1972" s="8" t="s">
        <v>18</v>
      </c>
      <c r="D1972" s="8" t="s">
        <v>16</v>
      </c>
      <c r="E1972" s="9">
        <v>28.92</v>
      </c>
      <c r="F1972" s="8" t="s">
        <v>11</v>
      </c>
      <c r="G1972" s="8">
        <v>86.76</v>
      </c>
      <c r="H1972" s="10">
        <f t="shared" si="60"/>
        <v>2</v>
      </c>
      <c r="I1972" s="10">
        <f>YEAR(Sheet1!$A1972)</f>
        <v>2025</v>
      </c>
      <c r="J1972" s="10">
        <f>DAY(Sheet1!$A1972)</f>
        <v>21</v>
      </c>
      <c r="K1972" s="12" t="s">
        <v>2023</v>
      </c>
      <c r="L1972" s="13" t="str">
        <f t="shared" si="61"/>
        <v>Premium Customer</v>
      </c>
    </row>
    <row r="1973" spans="1:12" ht="15.75" customHeight="1" x14ac:dyDescent="0.3">
      <c r="A1973" s="14">
        <v>45552</v>
      </c>
      <c r="B1973" s="15" t="s">
        <v>1334</v>
      </c>
      <c r="C1973" s="15" t="s">
        <v>24</v>
      </c>
      <c r="D1973" s="15" t="s">
        <v>14</v>
      </c>
      <c r="E1973" s="16">
        <v>28.98</v>
      </c>
      <c r="F1973" s="15" t="s">
        <v>10</v>
      </c>
      <c r="G1973" s="15">
        <v>86.94</v>
      </c>
      <c r="H1973" s="17">
        <f t="shared" si="60"/>
        <v>9</v>
      </c>
      <c r="I1973" s="17">
        <f>YEAR(Sheet1!$A1973)</f>
        <v>2024</v>
      </c>
      <c r="J1973" s="17">
        <f>DAY(Sheet1!$A1973)</f>
        <v>17</v>
      </c>
      <c r="K1973" s="18" t="s">
        <v>2023</v>
      </c>
      <c r="L1973" s="19" t="str">
        <f t="shared" si="61"/>
        <v>Premium Customer</v>
      </c>
    </row>
    <row r="1974" spans="1:12" ht="15.75" customHeight="1" x14ac:dyDescent="0.3">
      <c r="A1974" s="7">
        <v>45471</v>
      </c>
      <c r="B1974" s="8" t="s">
        <v>774</v>
      </c>
      <c r="C1974" s="8" t="s">
        <v>24</v>
      </c>
      <c r="D1974" s="8" t="s">
        <v>19</v>
      </c>
      <c r="E1974" s="9">
        <v>29.01</v>
      </c>
      <c r="F1974" s="8" t="s">
        <v>10</v>
      </c>
      <c r="G1974" s="8">
        <v>87.03</v>
      </c>
      <c r="H1974" s="10">
        <f t="shared" si="60"/>
        <v>6</v>
      </c>
      <c r="I1974" s="10">
        <f>YEAR(Sheet1!$A1974)</f>
        <v>2024</v>
      </c>
      <c r="J1974" s="10">
        <f>DAY(Sheet1!$A1974)</f>
        <v>28</v>
      </c>
      <c r="K1974" s="12" t="s">
        <v>2022</v>
      </c>
      <c r="L1974" s="13" t="str">
        <f t="shared" si="61"/>
        <v>Premium Customer</v>
      </c>
    </row>
    <row r="1975" spans="1:12" ht="15.75" customHeight="1" x14ac:dyDescent="0.3">
      <c r="A1975" s="14">
        <v>45693</v>
      </c>
      <c r="B1975" s="15" t="s">
        <v>455</v>
      </c>
      <c r="C1975" s="15" t="s">
        <v>8</v>
      </c>
      <c r="D1975" s="15" t="s">
        <v>19</v>
      </c>
      <c r="E1975" s="16">
        <v>29.04</v>
      </c>
      <c r="F1975" s="15" t="s">
        <v>10</v>
      </c>
      <c r="G1975" s="15">
        <v>87.12</v>
      </c>
      <c r="H1975" s="17">
        <f t="shared" si="60"/>
        <v>2</v>
      </c>
      <c r="I1975" s="17">
        <f>YEAR(Sheet1!$A1975)</f>
        <v>2025</v>
      </c>
      <c r="J1975" s="17">
        <f>DAY(Sheet1!$A1975)</f>
        <v>5</v>
      </c>
      <c r="K1975" s="18" t="s">
        <v>2022</v>
      </c>
      <c r="L1975" s="19" t="str">
        <f t="shared" si="61"/>
        <v>Premium Customer</v>
      </c>
    </row>
    <row r="1976" spans="1:12" ht="15.75" customHeight="1" x14ac:dyDescent="0.3">
      <c r="A1976" s="7">
        <v>45477</v>
      </c>
      <c r="B1976" s="8" t="s">
        <v>293</v>
      </c>
      <c r="C1976" s="8" t="s">
        <v>8</v>
      </c>
      <c r="D1976" s="8" t="s">
        <v>16</v>
      </c>
      <c r="E1976" s="9">
        <v>29.08</v>
      </c>
      <c r="F1976" s="8" t="s">
        <v>10</v>
      </c>
      <c r="G1976" s="8">
        <v>87.24</v>
      </c>
      <c r="H1976" s="10">
        <f t="shared" si="60"/>
        <v>7</v>
      </c>
      <c r="I1976" s="10">
        <f>YEAR(Sheet1!$A1976)</f>
        <v>2024</v>
      </c>
      <c r="J1976" s="10">
        <f>DAY(Sheet1!$A1976)</f>
        <v>4</v>
      </c>
      <c r="K1976" s="12" t="s">
        <v>2022</v>
      </c>
      <c r="L1976" s="13" t="str">
        <f t="shared" si="61"/>
        <v>Premium Customer</v>
      </c>
    </row>
    <row r="1977" spans="1:12" ht="15.75" customHeight="1" x14ac:dyDescent="0.3">
      <c r="A1977" s="14">
        <v>45521</v>
      </c>
      <c r="B1977" s="15" t="s">
        <v>1926</v>
      </c>
      <c r="C1977" s="15" t="s">
        <v>18</v>
      </c>
      <c r="D1977" s="15" t="s">
        <v>16</v>
      </c>
      <c r="E1977" s="16">
        <v>29.09</v>
      </c>
      <c r="F1977" s="15" t="s">
        <v>11</v>
      </c>
      <c r="G1977" s="15">
        <v>87.27</v>
      </c>
      <c r="H1977" s="17">
        <f t="shared" si="60"/>
        <v>8</v>
      </c>
      <c r="I1977" s="17">
        <f>YEAR(Sheet1!$A1977)</f>
        <v>2024</v>
      </c>
      <c r="J1977" s="17">
        <f>DAY(Sheet1!$A1977)</f>
        <v>17</v>
      </c>
      <c r="K1977" s="18" t="s">
        <v>2023</v>
      </c>
      <c r="L1977" s="19" t="str">
        <f t="shared" si="61"/>
        <v>Premium Customer</v>
      </c>
    </row>
    <row r="1978" spans="1:12" ht="15.75" customHeight="1" x14ac:dyDescent="0.3">
      <c r="A1978" s="7">
        <v>45661</v>
      </c>
      <c r="B1978" s="8" t="s">
        <v>956</v>
      </c>
      <c r="C1978" s="8" t="s">
        <v>18</v>
      </c>
      <c r="D1978" s="8" t="s">
        <v>16</v>
      </c>
      <c r="E1978" s="9">
        <v>29.17</v>
      </c>
      <c r="F1978" s="8" t="s">
        <v>11</v>
      </c>
      <c r="G1978" s="8">
        <v>87.51</v>
      </c>
      <c r="H1978" s="10">
        <f t="shared" si="60"/>
        <v>1</v>
      </c>
      <c r="I1978" s="10">
        <f>YEAR(Sheet1!$A1978)</f>
        <v>2025</v>
      </c>
      <c r="J1978" s="10">
        <f>DAY(Sheet1!$A1978)</f>
        <v>4</v>
      </c>
      <c r="K1978" s="12" t="s">
        <v>2023</v>
      </c>
      <c r="L1978" s="13" t="str">
        <f t="shared" si="61"/>
        <v>Premium Customer</v>
      </c>
    </row>
    <row r="1979" spans="1:12" ht="15.75" customHeight="1" x14ac:dyDescent="0.3">
      <c r="A1979" s="14">
        <v>45573</v>
      </c>
      <c r="B1979" s="15" t="s">
        <v>1310</v>
      </c>
      <c r="C1979" s="15" t="s">
        <v>18</v>
      </c>
      <c r="D1979" s="15" t="s">
        <v>14</v>
      </c>
      <c r="E1979" s="16">
        <v>29.24</v>
      </c>
      <c r="F1979" s="15" t="s">
        <v>11</v>
      </c>
      <c r="G1979" s="15">
        <v>87.72</v>
      </c>
      <c r="H1979" s="17">
        <f t="shared" si="60"/>
        <v>10</v>
      </c>
      <c r="I1979" s="17">
        <f>YEAR(Sheet1!$A1979)</f>
        <v>2024</v>
      </c>
      <c r="J1979" s="17">
        <f>DAY(Sheet1!$A1979)</f>
        <v>8</v>
      </c>
      <c r="K1979" s="18" t="s">
        <v>2022</v>
      </c>
      <c r="L1979" s="19" t="str">
        <f t="shared" si="61"/>
        <v>Premium Customer</v>
      </c>
    </row>
    <row r="1980" spans="1:12" ht="15.75" customHeight="1" x14ac:dyDescent="0.3">
      <c r="A1980" s="7">
        <v>45607</v>
      </c>
      <c r="B1980" s="8" t="s">
        <v>1221</v>
      </c>
      <c r="C1980" s="8" t="s">
        <v>18</v>
      </c>
      <c r="D1980" s="8" t="s">
        <v>9</v>
      </c>
      <c r="E1980" s="9">
        <v>29.26</v>
      </c>
      <c r="F1980" s="8" t="s">
        <v>10</v>
      </c>
      <c r="G1980" s="8">
        <v>87.78</v>
      </c>
      <c r="H1980" s="10">
        <f t="shared" si="60"/>
        <v>11</v>
      </c>
      <c r="I1980" s="10">
        <f>YEAR(Sheet1!$A1980)</f>
        <v>2024</v>
      </c>
      <c r="J1980" s="10">
        <f>DAY(Sheet1!$A1980)</f>
        <v>11</v>
      </c>
      <c r="K1980" s="12" t="s">
        <v>2022</v>
      </c>
      <c r="L1980" s="13" t="str">
        <f t="shared" si="61"/>
        <v>Premium Customer</v>
      </c>
    </row>
    <row r="1981" spans="1:12" ht="15.75" customHeight="1" x14ac:dyDescent="0.3">
      <c r="A1981" s="14">
        <v>45628</v>
      </c>
      <c r="B1981" s="15" t="s">
        <v>949</v>
      </c>
      <c r="C1981" s="15" t="s">
        <v>18</v>
      </c>
      <c r="D1981" s="15" t="s">
        <v>14</v>
      </c>
      <c r="E1981" s="16">
        <v>29.3</v>
      </c>
      <c r="F1981" s="15" t="s">
        <v>10</v>
      </c>
      <c r="G1981" s="15">
        <v>87.9</v>
      </c>
      <c r="H1981" s="17">
        <f t="shared" si="60"/>
        <v>12</v>
      </c>
      <c r="I1981" s="17">
        <f>YEAR(Sheet1!$A1981)</f>
        <v>2024</v>
      </c>
      <c r="J1981" s="17">
        <f>DAY(Sheet1!$A1981)</f>
        <v>2</v>
      </c>
      <c r="K1981" s="18" t="s">
        <v>2022</v>
      </c>
      <c r="L1981" s="19" t="str">
        <f t="shared" si="61"/>
        <v>Premium Customer</v>
      </c>
    </row>
    <row r="1982" spans="1:12" ht="15.75" customHeight="1" x14ac:dyDescent="0.3">
      <c r="A1982" s="7">
        <v>45774</v>
      </c>
      <c r="B1982" s="8" t="s">
        <v>1805</v>
      </c>
      <c r="C1982" s="8" t="s">
        <v>24</v>
      </c>
      <c r="D1982" s="8" t="s">
        <v>19</v>
      </c>
      <c r="E1982" s="9">
        <v>29.39</v>
      </c>
      <c r="F1982" s="8" t="s">
        <v>10</v>
      </c>
      <c r="G1982" s="8">
        <v>88.17</v>
      </c>
      <c r="H1982" s="10">
        <f t="shared" si="60"/>
        <v>4</v>
      </c>
      <c r="I1982" s="10">
        <f>YEAR(Sheet1!$A1982)</f>
        <v>2025</v>
      </c>
      <c r="J1982" s="10">
        <f>DAY(Sheet1!$A1982)</f>
        <v>27</v>
      </c>
      <c r="K1982" s="12" t="s">
        <v>2023</v>
      </c>
      <c r="L1982" s="13" t="str">
        <f t="shared" si="61"/>
        <v>Premium Customer</v>
      </c>
    </row>
    <row r="1983" spans="1:12" ht="15.75" customHeight="1" x14ac:dyDescent="0.3">
      <c r="A1983" s="14">
        <v>45418</v>
      </c>
      <c r="B1983" s="15" t="s">
        <v>1578</v>
      </c>
      <c r="C1983" s="15" t="s">
        <v>13</v>
      </c>
      <c r="D1983" s="15" t="s">
        <v>16</v>
      </c>
      <c r="E1983" s="16">
        <v>29.46</v>
      </c>
      <c r="F1983" s="15" t="s">
        <v>11</v>
      </c>
      <c r="G1983" s="15">
        <v>88.38</v>
      </c>
      <c r="H1983" s="17">
        <f t="shared" si="60"/>
        <v>5</v>
      </c>
      <c r="I1983" s="17">
        <f>YEAR(Sheet1!$A1983)</f>
        <v>2024</v>
      </c>
      <c r="J1983" s="17">
        <f>DAY(Sheet1!$A1983)</f>
        <v>6</v>
      </c>
      <c r="K1983" s="18" t="s">
        <v>2022</v>
      </c>
      <c r="L1983" s="19" t="str">
        <f t="shared" si="61"/>
        <v>Premium Customer</v>
      </c>
    </row>
    <row r="1984" spans="1:12" ht="15.75" customHeight="1" x14ac:dyDescent="0.3">
      <c r="A1984" s="7">
        <v>45617</v>
      </c>
      <c r="B1984" s="8" t="s">
        <v>204</v>
      </c>
      <c r="C1984" s="8" t="s">
        <v>18</v>
      </c>
      <c r="D1984" s="8" t="s">
        <v>9</v>
      </c>
      <c r="E1984" s="9">
        <v>29.48</v>
      </c>
      <c r="F1984" s="8" t="s">
        <v>10</v>
      </c>
      <c r="G1984" s="8">
        <v>88.44</v>
      </c>
      <c r="H1984" s="10">
        <f t="shared" si="60"/>
        <v>11</v>
      </c>
      <c r="I1984" s="10">
        <f>YEAR(Sheet1!$A1984)</f>
        <v>2024</v>
      </c>
      <c r="J1984" s="10">
        <f>DAY(Sheet1!$A1984)</f>
        <v>21</v>
      </c>
      <c r="K1984" s="12" t="s">
        <v>2023</v>
      </c>
      <c r="L1984" s="13" t="str">
        <f t="shared" si="61"/>
        <v>Premium Customer</v>
      </c>
    </row>
    <row r="1985" spans="1:12" ht="15.75" customHeight="1" x14ac:dyDescent="0.3">
      <c r="A1985" s="14">
        <v>45664</v>
      </c>
      <c r="B1985" s="15" t="s">
        <v>429</v>
      </c>
      <c r="C1985" s="15" t="s">
        <v>24</v>
      </c>
      <c r="D1985" s="15" t="s">
        <v>9</v>
      </c>
      <c r="E1985" s="16">
        <v>29.5</v>
      </c>
      <c r="F1985" s="15" t="s">
        <v>10</v>
      </c>
      <c r="G1985" s="15">
        <v>88.5</v>
      </c>
      <c r="H1985" s="17">
        <f t="shared" si="60"/>
        <v>1</v>
      </c>
      <c r="I1985" s="17">
        <f>YEAR(Sheet1!$A1985)</f>
        <v>2025</v>
      </c>
      <c r="J1985" s="17">
        <f>DAY(Sheet1!$A1985)</f>
        <v>7</v>
      </c>
      <c r="K1985" s="18" t="s">
        <v>2023</v>
      </c>
      <c r="L1985" s="19" t="str">
        <f t="shared" si="61"/>
        <v>Premium Customer</v>
      </c>
    </row>
    <row r="1986" spans="1:12" ht="15.75" customHeight="1" x14ac:dyDescent="0.3">
      <c r="A1986" s="7">
        <v>45487</v>
      </c>
      <c r="B1986" s="8" t="s">
        <v>853</v>
      </c>
      <c r="C1986" s="8" t="s">
        <v>24</v>
      </c>
      <c r="D1986" s="8" t="s">
        <v>19</v>
      </c>
      <c r="E1986" s="9">
        <v>29.6</v>
      </c>
      <c r="F1986" s="8" t="s">
        <v>10</v>
      </c>
      <c r="G1986" s="8">
        <v>88.8</v>
      </c>
      <c r="H1986" s="10">
        <f t="shared" ref="H1986:H2001" si="62">MONTH(A1986)</f>
        <v>7</v>
      </c>
      <c r="I1986" s="10">
        <f>YEAR(Sheet1!$A1986)</f>
        <v>2024</v>
      </c>
      <c r="J1986" s="10">
        <f>DAY(Sheet1!$A1986)</f>
        <v>14</v>
      </c>
      <c r="K1986" s="12" t="s">
        <v>2023</v>
      </c>
      <c r="L1986" s="13" t="str">
        <f t="shared" ref="L1986:L2001" si="63">IF(G1986&gt;50,"Premium Customer","Regular Customer")</f>
        <v>Premium Customer</v>
      </c>
    </row>
    <row r="1987" spans="1:12" ht="15.75" customHeight="1" x14ac:dyDescent="0.3">
      <c r="A1987" s="14">
        <v>45777</v>
      </c>
      <c r="B1987" s="15" t="s">
        <v>1198</v>
      </c>
      <c r="C1987" s="15" t="s">
        <v>18</v>
      </c>
      <c r="D1987" s="15" t="s">
        <v>19</v>
      </c>
      <c r="E1987" s="16">
        <v>29.69</v>
      </c>
      <c r="F1987" s="15" t="s">
        <v>10</v>
      </c>
      <c r="G1987" s="15">
        <v>89.07</v>
      </c>
      <c r="H1987" s="17">
        <f t="shared" si="62"/>
        <v>4</v>
      </c>
      <c r="I1987" s="17">
        <f>YEAR(Sheet1!$A1987)</f>
        <v>2025</v>
      </c>
      <c r="J1987" s="17">
        <f>DAY(Sheet1!$A1987)</f>
        <v>30</v>
      </c>
      <c r="K1987" s="18" t="s">
        <v>2023</v>
      </c>
      <c r="L1987" s="19" t="str">
        <f t="shared" si="63"/>
        <v>Premium Customer</v>
      </c>
    </row>
    <row r="1988" spans="1:12" ht="15.75" customHeight="1" x14ac:dyDescent="0.3">
      <c r="A1988" s="7">
        <v>45452</v>
      </c>
      <c r="B1988" s="8" t="s">
        <v>1793</v>
      </c>
      <c r="C1988" s="8" t="s">
        <v>24</v>
      </c>
      <c r="D1988" s="8" t="s">
        <v>19</v>
      </c>
      <c r="E1988" s="9">
        <v>29.7</v>
      </c>
      <c r="F1988" s="8" t="s">
        <v>11</v>
      </c>
      <c r="G1988" s="8">
        <v>89.1</v>
      </c>
      <c r="H1988" s="10">
        <f t="shared" si="62"/>
        <v>6</v>
      </c>
      <c r="I1988" s="10">
        <f>YEAR(Sheet1!$A1988)</f>
        <v>2024</v>
      </c>
      <c r="J1988" s="10">
        <f>DAY(Sheet1!$A1988)</f>
        <v>9</v>
      </c>
      <c r="K1988" s="12" t="s">
        <v>2022</v>
      </c>
      <c r="L1988" s="13" t="str">
        <f t="shared" si="63"/>
        <v>Premium Customer</v>
      </c>
    </row>
    <row r="1989" spans="1:12" ht="15.75" customHeight="1" x14ac:dyDescent="0.3">
      <c r="A1989" s="14">
        <v>45775</v>
      </c>
      <c r="B1989" s="15" t="s">
        <v>1069</v>
      </c>
      <c r="C1989" s="15" t="s">
        <v>18</v>
      </c>
      <c r="D1989" s="15" t="s">
        <v>19</v>
      </c>
      <c r="E1989" s="16">
        <v>29.71</v>
      </c>
      <c r="F1989" s="15" t="s">
        <v>11</v>
      </c>
      <c r="G1989" s="15">
        <v>89.13</v>
      </c>
      <c r="H1989" s="17">
        <f t="shared" si="62"/>
        <v>4</v>
      </c>
      <c r="I1989" s="17">
        <f>YEAR(Sheet1!$A1989)</f>
        <v>2025</v>
      </c>
      <c r="J1989" s="17">
        <f>DAY(Sheet1!$A1989)</f>
        <v>28</v>
      </c>
      <c r="K1989" s="18" t="s">
        <v>2022</v>
      </c>
      <c r="L1989" s="19" t="str">
        <f t="shared" si="63"/>
        <v>Premium Customer</v>
      </c>
    </row>
    <row r="1990" spans="1:12" ht="15.75" customHeight="1" x14ac:dyDescent="0.3">
      <c r="A1990" s="7">
        <v>45550</v>
      </c>
      <c r="B1990" s="8" t="s">
        <v>457</v>
      </c>
      <c r="C1990" s="8" t="s">
        <v>18</v>
      </c>
      <c r="D1990" s="8" t="s">
        <v>14</v>
      </c>
      <c r="E1990" s="9">
        <v>29.74</v>
      </c>
      <c r="F1990" s="8" t="s">
        <v>11</v>
      </c>
      <c r="G1990" s="8">
        <v>89.22</v>
      </c>
      <c r="H1990" s="10">
        <f t="shared" si="62"/>
        <v>9</v>
      </c>
      <c r="I1990" s="10">
        <f>YEAR(Sheet1!$A1990)</f>
        <v>2024</v>
      </c>
      <c r="J1990" s="10">
        <f>DAY(Sheet1!$A1990)</f>
        <v>15</v>
      </c>
      <c r="K1990" s="12" t="s">
        <v>2022</v>
      </c>
      <c r="L1990" s="13" t="str">
        <f t="shared" si="63"/>
        <v>Premium Customer</v>
      </c>
    </row>
    <row r="1991" spans="1:12" ht="15.75" customHeight="1" x14ac:dyDescent="0.3">
      <c r="A1991" s="14">
        <v>45761</v>
      </c>
      <c r="B1991" s="15" t="s">
        <v>1871</v>
      </c>
      <c r="C1991" s="15" t="s">
        <v>24</v>
      </c>
      <c r="D1991" s="15" t="s">
        <v>16</v>
      </c>
      <c r="E1991" s="16">
        <v>29.75</v>
      </c>
      <c r="F1991" s="15" t="s">
        <v>11</v>
      </c>
      <c r="G1991" s="15">
        <v>89.25</v>
      </c>
      <c r="H1991" s="17">
        <f t="shared" si="62"/>
        <v>4</v>
      </c>
      <c r="I1991" s="17">
        <f>YEAR(Sheet1!$A1991)</f>
        <v>2025</v>
      </c>
      <c r="J1991" s="17">
        <f>DAY(Sheet1!$A1991)</f>
        <v>14</v>
      </c>
      <c r="K1991" s="18" t="s">
        <v>2023</v>
      </c>
      <c r="L1991" s="19" t="str">
        <f t="shared" si="63"/>
        <v>Premium Customer</v>
      </c>
    </row>
    <row r="1992" spans="1:12" ht="15.75" customHeight="1" x14ac:dyDescent="0.3">
      <c r="A1992" s="7">
        <v>45768</v>
      </c>
      <c r="B1992" s="8" t="s">
        <v>1689</v>
      </c>
      <c r="C1992" s="8" t="s">
        <v>8</v>
      </c>
      <c r="D1992" s="8" t="s">
        <v>14</v>
      </c>
      <c r="E1992" s="9">
        <v>29.75</v>
      </c>
      <c r="F1992" s="8" t="s">
        <v>10</v>
      </c>
      <c r="G1992" s="8">
        <v>89.25</v>
      </c>
      <c r="H1992" s="10">
        <f t="shared" si="62"/>
        <v>4</v>
      </c>
      <c r="I1992" s="10">
        <f>YEAR(Sheet1!$A1992)</f>
        <v>2025</v>
      </c>
      <c r="J1992" s="10">
        <f>DAY(Sheet1!$A1992)</f>
        <v>21</v>
      </c>
      <c r="K1992" s="12" t="s">
        <v>2022</v>
      </c>
      <c r="L1992" s="13" t="str">
        <f t="shared" si="63"/>
        <v>Premium Customer</v>
      </c>
    </row>
    <row r="1993" spans="1:12" ht="15.75" customHeight="1" x14ac:dyDescent="0.3">
      <c r="A1993" s="14">
        <v>45452</v>
      </c>
      <c r="B1993" s="15" t="s">
        <v>912</v>
      </c>
      <c r="C1993" s="15" t="s">
        <v>24</v>
      </c>
      <c r="D1993" s="15" t="s">
        <v>19</v>
      </c>
      <c r="E1993" s="16">
        <v>29.77</v>
      </c>
      <c r="F1993" s="15" t="s">
        <v>11</v>
      </c>
      <c r="G1993" s="15">
        <v>89.31</v>
      </c>
      <c r="H1993" s="17">
        <f t="shared" si="62"/>
        <v>6</v>
      </c>
      <c r="I1993" s="17">
        <f>YEAR(Sheet1!$A1993)</f>
        <v>2024</v>
      </c>
      <c r="J1993" s="17">
        <f>DAY(Sheet1!$A1993)</f>
        <v>9</v>
      </c>
      <c r="K1993" s="18" t="s">
        <v>2022</v>
      </c>
      <c r="L1993" s="19" t="str">
        <f t="shared" si="63"/>
        <v>Premium Customer</v>
      </c>
    </row>
    <row r="1994" spans="1:12" ht="15.75" customHeight="1" x14ac:dyDescent="0.3">
      <c r="A1994" s="7">
        <v>45611</v>
      </c>
      <c r="B1994" s="8" t="s">
        <v>915</v>
      </c>
      <c r="C1994" s="8" t="s">
        <v>24</v>
      </c>
      <c r="D1994" s="8" t="s">
        <v>9</v>
      </c>
      <c r="E1994" s="9">
        <v>29.77</v>
      </c>
      <c r="F1994" s="8" t="s">
        <v>10</v>
      </c>
      <c r="G1994" s="8">
        <v>89.31</v>
      </c>
      <c r="H1994" s="10">
        <f t="shared" si="62"/>
        <v>11</v>
      </c>
      <c r="I1994" s="10">
        <f>YEAR(Sheet1!$A1994)</f>
        <v>2024</v>
      </c>
      <c r="J1994" s="10">
        <f>DAY(Sheet1!$A1994)</f>
        <v>15</v>
      </c>
      <c r="K1994" s="12" t="s">
        <v>2023</v>
      </c>
      <c r="L1994" s="13" t="str">
        <f t="shared" si="63"/>
        <v>Premium Customer</v>
      </c>
    </row>
    <row r="1995" spans="1:12" ht="15.75" customHeight="1" x14ac:dyDescent="0.3">
      <c r="A1995" s="14">
        <v>45743</v>
      </c>
      <c r="B1995" s="15" t="s">
        <v>358</v>
      </c>
      <c r="C1995" s="15" t="s">
        <v>18</v>
      </c>
      <c r="D1995" s="15" t="s">
        <v>16</v>
      </c>
      <c r="E1995" s="16">
        <v>29.79</v>
      </c>
      <c r="F1995" s="15" t="s">
        <v>11</v>
      </c>
      <c r="G1995" s="15">
        <v>89.37</v>
      </c>
      <c r="H1995" s="17">
        <f t="shared" si="62"/>
        <v>3</v>
      </c>
      <c r="I1995" s="17">
        <f>YEAR(Sheet1!$A1995)</f>
        <v>2025</v>
      </c>
      <c r="J1995" s="17">
        <f>DAY(Sheet1!$A1995)</f>
        <v>27</v>
      </c>
      <c r="K1995" s="18" t="s">
        <v>2023</v>
      </c>
      <c r="L1995" s="19" t="str">
        <f t="shared" si="63"/>
        <v>Premium Customer</v>
      </c>
    </row>
    <row r="1996" spans="1:12" ht="15.75" customHeight="1" x14ac:dyDescent="0.3">
      <c r="A1996" s="7">
        <v>45556</v>
      </c>
      <c r="B1996" s="8" t="s">
        <v>596</v>
      </c>
      <c r="C1996" s="8" t="s">
        <v>18</v>
      </c>
      <c r="D1996" s="8" t="s">
        <v>19</v>
      </c>
      <c r="E1996" s="9">
        <v>29.9</v>
      </c>
      <c r="F1996" s="8" t="s">
        <v>10</v>
      </c>
      <c r="G1996" s="8">
        <v>89.7</v>
      </c>
      <c r="H1996" s="10">
        <f t="shared" si="62"/>
        <v>9</v>
      </c>
      <c r="I1996" s="10">
        <f>YEAR(Sheet1!$A1996)</f>
        <v>2024</v>
      </c>
      <c r="J1996" s="10">
        <f>DAY(Sheet1!$A1996)</f>
        <v>21</v>
      </c>
      <c r="K1996" s="12" t="s">
        <v>2023</v>
      </c>
      <c r="L1996" s="13" t="str">
        <f t="shared" si="63"/>
        <v>Premium Customer</v>
      </c>
    </row>
    <row r="1997" spans="1:12" ht="15.75" customHeight="1" x14ac:dyDescent="0.3">
      <c r="A1997" s="14">
        <v>45634</v>
      </c>
      <c r="B1997" s="15" t="s">
        <v>1755</v>
      </c>
      <c r="C1997" s="15" t="s">
        <v>24</v>
      </c>
      <c r="D1997" s="15" t="s">
        <v>16</v>
      </c>
      <c r="E1997" s="16">
        <v>29.9</v>
      </c>
      <c r="F1997" s="15" t="s">
        <v>11</v>
      </c>
      <c r="G1997" s="15">
        <v>89.7</v>
      </c>
      <c r="H1997" s="17">
        <f t="shared" si="62"/>
        <v>12</v>
      </c>
      <c r="I1997" s="17">
        <f>YEAR(Sheet1!$A1997)</f>
        <v>2024</v>
      </c>
      <c r="J1997" s="17">
        <f>DAY(Sheet1!$A1997)</f>
        <v>8</v>
      </c>
      <c r="K1997" s="18" t="s">
        <v>2022</v>
      </c>
      <c r="L1997" s="19" t="str">
        <f t="shared" si="63"/>
        <v>Premium Customer</v>
      </c>
    </row>
    <row r="1998" spans="1:12" ht="15.75" customHeight="1" x14ac:dyDescent="0.3">
      <c r="A1998" s="7">
        <v>45732</v>
      </c>
      <c r="B1998" s="8" t="s">
        <v>1532</v>
      </c>
      <c r="C1998" s="8" t="s">
        <v>13</v>
      </c>
      <c r="D1998" s="8" t="s">
        <v>14</v>
      </c>
      <c r="E1998" s="9">
        <v>29.91</v>
      </c>
      <c r="F1998" s="8" t="s">
        <v>11</v>
      </c>
      <c r="G1998" s="8">
        <v>89.73</v>
      </c>
      <c r="H1998" s="10">
        <f t="shared" si="62"/>
        <v>3</v>
      </c>
      <c r="I1998" s="10">
        <f>YEAR(Sheet1!$A1998)</f>
        <v>2025</v>
      </c>
      <c r="J1998" s="10">
        <f>DAY(Sheet1!$A1998)</f>
        <v>16</v>
      </c>
      <c r="K1998" s="12" t="s">
        <v>2022</v>
      </c>
      <c r="L1998" s="13" t="str">
        <f t="shared" si="63"/>
        <v>Premium Customer</v>
      </c>
    </row>
    <row r="1999" spans="1:12" ht="15.75" customHeight="1" x14ac:dyDescent="0.3">
      <c r="A1999" s="14">
        <v>45653</v>
      </c>
      <c r="B1999" s="15" t="s">
        <v>709</v>
      </c>
      <c r="C1999" s="15" t="s">
        <v>18</v>
      </c>
      <c r="D1999" s="15" t="s">
        <v>19</v>
      </c>
      <c r="E1999" s="16">
        <v>29.95</v>
      </c>
      <c r="F1999" s="15" t="s">
        <v>10</v>
      </c>
      <c r="G1999" s="15">
        <v>89.85</v>
      </c>
      <c r="H1999" s="17">
        <f t="shared" si="62"/>
        <v>12</v>
      </c>
      <c r="I1999" s="17">
        <f>YEAR(Sheet1!$A1999)</f>
        <v>2024</v>
      </c>
      <c r="J1999" s="17">
        <f>DAY(Sheet1!$A1999)</f>
        <v>27</v>
      </c>
      <c r="K1999" s="18" t="s">
        <v>2023</v>
      </c>
      <c r="L1999" s="19" t="str">
        <f t="shared" si="63"/>
        <v>Premium Customer</v>
      </c>
    </row>
    <row r="2000" spans="1:12" ht="15.75" customHeight="1" x14ac:dyDescent="0.3">
      <c r="A2000" s="7">
        <v>45623</v>
      </c>
      <c r="B2000" s="8" t="s">
        <v>1968</v>
      </c>
      <c r="C2000" s="8" t="s">
        <v>13</v>
      </c>
      <c r="D2000" s="8" t="s">
        <v>19</v>
      </c>
      <c r="E2000" s="9">
        <v>29.96</v>
      </c>
      <c r="F2000" s="8" t="s">
        <v>11</v>
      </c>
      <c r="G2000" s="8">
        <v>89.88</v>
      </c>
      <c r="H2000" s="10">
        <f t="shared" si="62"/>
        <v>11</v>
      </c>
      <c r="I2000" s="10">
        <f>YEAR(Sheet1!$A2000)</f>
        <v>2024</v>
      </c>
      <c r="J2000" s="10">
        <f>DAY(Sheet1!$A2000)</f>
        <v>27</v>
      </c>
      <c r="K2000" s="12" t="s">
        <v>2023</v>
      </c>
      <c r="L2000" s="13" t="str">
        <f t="shared" si="63"/>
        <v>Premium Customer</v>
      </c>
    </row>
    <row r="2001" spans="1:12" ht="15.75" customHeight="1" x14ac:dyDescent="0.3">
      <c r="A2001" s="20">
        <v>45756</v>
      </c>
      <c r="B2001" s="21" t="s">
        <v>1711</v>
      </c>
      <c r="C2001" s="21" t="s">
        <v>13</v>
      </c>
      <c r="D2001" s="21" t="s">
        <v>14</v>
      </c>
      <c r="E2001" s="22">
        <v>29.98</v>
      </c>
      <c r="F2001" s="21" t="s">
        <v>10</v>
      </c>
      <c r="G2001" s="21">
        <v>89.94</v>
      </c>
      <c r="H2001" s="23">
        <f t="shared" si="62"/>
        <v>4</v>
      </c>
      <c r="I2001" s="23">
        <f>YEAR(Sheet1!$A2001)</f>
        <v>2025</v>
      </c>
      <c r="J2001" s="24">
        <f>DAY(Sheet1!$A2001)</f>
        <v>9</v>
      </c>
      <c r="K2001" s="25" t="s">
        <v>2023</v>
      </c>
      <c r="L2001" s="2" t="str">
        <f t="shared" si="63"/>
        <v>Premium Customer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Mohamed</dc:creator>
  <cp:lastModifiedBy>KHALED MOHAMED</cp:lastModifiedBy>
  <dcterms:created xsi:type="dcterms:W3CDTF">2025-12-25T10:28:07Z</dcterms:created>
  <dcterms:modified xsi:type="dcterms:W3CDTF">2025-12-25T14:41:27Z</dcterms:modified>
</cp:coreProperties>
</file>